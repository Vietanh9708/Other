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cvn-filesv\DATA\TL Engineering Div\TIM\D.03. SYSTEM FLOW\2026 - Job plan\"/>
    </mc:Choice>
  </mc:AlternateContent>
  <xr:revisionPtr revIDLastSave="0" documentId="13_ncr:1_{DE9CE49B-9462-466F-B9C3-2D5A4F436CCC}" xr6:coauthVersionLast="47" xr6:coauthVersionMax="47" xr10:uidLastSave="{00000000-0000-0000-0000-000000000000}"/>
  <bookViews>
    <workbookView xWindow="-120" yWindow="-120" windowWidth="24240" windowHeight="13020" activeTab="1" xr2:uid="{02FF3A81-923D-45B2-8AF1-28AA709C141D}"/>
  </bookViews>
  <sheets>
    <sheet name="Job detail" sheetId="2" r:id="rId1"/>
    <sheet name="Time table job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2" l="1"/>
  <c r="I3" i="2"/>
  <c r="K3" i="2"/>
  <c r="M3" i="2"/>
  <c r="O3" i="2"/>
  <c r="Q3" i="2"/>
  <c r="P8" i="2"/>
  <c r="P9" i="2"/>
  <c r="P10" i="2"/>
  <c r="Q10" i="2" s="1"/>
  <c r="P11" i="2"/>
  <c r="P12" i="2"/>
  <c r="P13" i="2"/>
  <c r="P14" i="2"/>
  <c r="P7" i="2"/>
  <c r="Q7" i="2" s="1"/>
  <c r="Q20" i="2" s="1"/>
  <c r="N8" i="2"/>
  <c r="N9" i="2"/>
  <c r="N10" i="2"/>
  <c r="N11" i="2"/>
  <c r="N12" i="2"/>
  <c r="N13" i="2"/>
  <c r="N14" i="2"/>
  <c r="N15" i="2"/>
  <c r="N7" i="2"/>
  <c r="O10" i="2"/>
  <c r="K20" i="2"/>
  <c r="M10" i="2"/>
  <c r="M7" i="2"/>
  <c r="K10" i="2"/>
  <c r="K7" i="2"/>
  <c r="I10" i="2"/>
  <c r="I7" i="2"/>
  <c r="I20" i="2" s="1"/>
  <c r="G10" i="2"/>
  <c r="G7" i="2"/>
  <c r="G20" i="2" s="1"/>
  <c r="L20" i="2"/>
  <c r="L21" i="2" s="1"/>
  <c r="J20" i="2"/>
  <c r="J21" i="2" s="1"/>
  <c r="H20" i="2"/>
  <c r="H21" i="2" s="1"/>
  <c r="F20" i="2"/>
  <c r="F21" i="2" s="1"/>
  <c r="P20" i="2" l="1"/>
  <c r="P21" i="2" s="1"/>
  <c r="O7" i="2"/>
  <c r="O20" i="2" s="1"/>
  <c r="N20" i="2"/>
  <c r="N21" i="2" s="1"/>
  <c r="M20" i="2"/>
</calcChain>
</file>

<file path=xl/sharedStrings.xml><?xml version="1.0" encoding="utf-8"?>
<sst xmlns="http://schemas.openxmlformats.org/spreadsheetml/2006/main" count="77" uniqueCount="52">
  <si>
    <t>Time table for coding website</t>
  </si>
  <si>
    <t xml:space="preserve">Study procedure/ actual operation </t>
  </si>
  <si>
    <t>Meeting &amp; collect requirement from user</t>
  </si>
  <si>
    <t>Making concept system</t>
  </si>
  <si>
    <t>Hold meeting &amp; fix concept</t>
  </si>
  <si>
    <t>UI/UX design</t>
  </si>
  <si>
    <t>Develop frontend</t>
  </si>
  <si>
    <t>Develop backend</t>
  </si>
  <si>
    <t>Deploy website/application</t>
  </si>
  <si>
    <t>Testing by flow group -&gt;fig bugs</t>
  </si>
  <si>
    <t>Testing by end_user -&gt; fig bugs</t>
  </si>
  <si>
    <t>Make manual + Launching system</t>
  </si>
  <si>
    <t>1-3 year</t>
  </si>
  <si>
    <t>&gt; 3 year</t>
  </si>
  <si>
    <t>PIC</t>
  </si>
  <si>
    <t>Admin</t>
  </si>
  <si>
    <t>Admin+ ADV</t>
  </si>
  <si>
    <t>ADV</t>
  </si>
  <si>
    <t>All + ADV</t>
  </si>
  <si>
    <t>Phase Maintain</t>
  </si>
  <si>
    <t>Fix bugs after launching</t>
  </si>
  <si>
    <t xml:space="preserve"> base on each project</t>
  </si>
  <si>
    <t xml:space="preserve">Meeting &amp; review to improve system </t>
  </si>
  <si>
    <t xml:space="preserve">Modify code </t>
  </si>
  <si>
    <t>Test new function after modify</t>
  </si>
  <si>
    <t>Launching new version</t>
  </si>
  <si>
    <t>Make test case</t>
  </si>
  <si>
    <t>total time/month</t>
  </si>
  <si>
    <t>Admin +ADV</t>
  </si>
  <si>
    <t>total time/week</t>
  </si>
  <si>
    <t>5% ứng với 1 tuần làm việc</t>
  </si>
  <si>
    <t>total</t>
  </si>
  <si>
    <t>code</t>
  </si>
  <si>
    <t>increase 1.5 times</t>
  </si>
  <si>
    <t>increase 2.5 times</t>
  </si>
  <si>
    <t>1. DC DRW checking and problem feedback</t>
  </si>
  <si>
    <t>2. MP problem feedback</t>
  </si>
  <si>
    <t>Simple</t>
  </si>
  <si>
    <t>Middle</t>
  </si>
  <si>
    <t>Difficult</t>
  </si>
  <si>
    <t>CODING WEBSITE GENERAL PLAN</t>
  </si>
  <si>
    <t>ENG user</t>
  </si>
  <si>
    <t>Job detail</t>
  </si>
  <si>
    <t>Progress</t>
  </si>
  <si>
    <t xml:space="preserve">Detail </t>
  </si>
  <si>
    <t>Phase 1 : Making flow</t>
  </si>
  <si>
    <t>Phase 2 : Coding</t>
  </si>
  <si>
    <t>Phase 3 : Testing + Fix bug</t>
  </si>
  <si>
    <t>I. ENG User</t>
  </si>
  <si>
    <t>II. Admin</t>
  </si>
  <si>
    <t>III. ADV</t>
  </si>
  <si>
    <t>IV.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</si>
</sst>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3" fillId="0" borderId="0" xfId="0" applyFont="1" applyAlignment="1">
      <alignment wrapText="1"/>
    </xf>
    <xf numFmtId="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/>
    <xf numFmtId="0" fontId="1" fillId="0" borderId="0" xfId="0" applyFont="1"/>
    <xf numFmtId="0" fontId="5" fillId="0" borderId="0" xfId="0" applyFont="1"/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9" fontId="0" fillId="0" borderId="4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9" fontId="0" fillId="2" borderId="1" xfId="0" applyNumberFormat="1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196452</xdr:colOff>
      <xdr:row>17</xdr:row>
      <xdr:rowOff>83344</xdr:rowOff>
    </xdr:from>
    <xdr:to>
      <xdr:col>5</xdr:col>
      <xdr:colOff>196452</xdr:colOff>
      <xdr:row>33</xdr:row>
      <xdr:rowOff>152400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1431E2A-DD6F-4C37-A994-C8B9731F62E7}"/>
            </a:ext>
          </a:extLst>
        </xdr:cNvPr>
        <xdr:cNvCxnSpPr/>
      </xdr:nvCxnSpPr>
      <xdr:spPr>
        <a:xfrm>
          <a:off x="5225652" y="3636169"/>
          <a:ext cx="0" cy="3117056"/>
        </a:xfrm>
        <a:prstGeom prst="line">
          <a:avLst/>
        </a:prstGeom>
        <a:ln w="9525">
          <a:solidFill>
            <a:srgbClr val="0000FF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10</xdr:row>
      <xdr:rowOff>49696</xdr:rowOff>
    </xdr:from>
    <xdr:to>
      <xdr:col>4</xdr:col>
      <xdr:colOff>0</xdr:colOff>
      <xdr:row>67</xdr:row>
      <xdr:rowOff>95250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FE7548BD-4C98-4E20-B3C8-DC0CAD383AAC}"/>
            </a:ext>
          </a:extLst>
        </xdr:cNvPr>
        <xdr:cNvCxnSpPr/>
      </xdr:nvCxnSpPr>
      <xdr:spPr>
        <a:xfrm>
          <a:off x="4419600" y="2221396"/>
          <a:ext cx="0" cy="11094554"/>
        </a:xfrm>
        <a:prstGeom prst="line">
          <a:avLst/>
        </a:prstGeom>
        <a:ln w="12700">
          <a:solidFill>
            <a:srgbClr val="0000FF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19048</xdr:colOff>
      <xdr:row>5</xdr:row>
      <xdr:rowOff>9525</xdr:rowOff>
    </xdr:from>
    <xdr:to>
      <xdr:col>8</xdr:col>
      <xdr:colOff>1673679</xdr:colOff>
      <xdr:row>7</xdr:row>
      <xdr:rowOff>161925</xdr:rowOff>
    </xdr:to>
    <xdr:sp macro="" textlink="">
      <xdr:nvSpPr>
        <xdr:cNvPr id="5" name="Pentagon 3">
          <a:extLst>
            <a:ext uri="{FF2B5EF4-FFF2-40B4-BE49-F238E27FC236}">
              <a16:creationId xmlns:a16="http://schemas.microsoft.com/office/drawing/2014/main" id="{923D86A0-6392-4E40-929A-456FF47A2745}"/>
            </a:ext>
          </a:extLst>
        </xdr:cNvPr>
        <xdr:cNvSpPr/>
      </xdr:nvSpPr>
      <xdr:spPr>
        <a:xfrm>
          <a:off x="5638798" y="1234168"/>
          <a:ext cx="8512631" cy="533400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Coding</a:t>
          </a:r>
        </a:p>
      </xdr:txBody>
    </xdr:sp>
    <xdr:clientData/>
  </xdr:twoCellAnchor>
  <xdr:twoCellAnchor>
    <xdr:from>
      <xdr:col>9</xdr:col>
      <xdr:colOff>43899</xdr:colOff>
      <xdr:row>5</xdr:row>
      <xdr:rowOff>1598</xdr:rowOff>
    </xdr:from>
    <xdr:to>
      <xdr:col>9</xdr:col>
      <xdr:colOff>1700893</xdr:colOff>
      <xdr:row>7</xdr:row>
      <xdr:rowOff>153998</xdr:rowOff>
    </xdr:to>
    <xdr:sp macro="" textlink="">
      <xdr:nvSpPr>
        <xdr:cNvPr id="6" name="Pentagon 4">
          <a:extLst>
            <a:ext uri="{FF2B5EF4-FFF2-40B4-BE49-F238E27FC236}">
              <a16:creationId xmlns:a16="http://schemas.microsoft.com/office/drawing/2014/main" id="{CC744E4A-8B8C-4759-A33D-B19870BA18A5}"/>
            </a:ext>
          </a:extLst>
        </xdr:cNvPr>
        <xdr:cNvSpPr/>
      </xdr:nvSpPr>
      <xdr:spPr>
        <a:xfrm>
          <a:off x="14236149" y="1226241"/>
          <a:ext cx="1656994" cy="533400"/>
        </a:xfrm>
        <a:prstGeom prst="homePlate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Testing</a:t>
          </a:r>
        </a:p>
      </xdr:txBody>
    </xdr:sp>
    <xdr:clientData/>
  </xdr:twoCellAnchor>
  <xdr:twoCellAnchor>
    <xdr:from>
      <xdr:col>10</xdr:col>
      <xdr:colOff>39402</xdr:colOff>
      <xdr:row>5</xdr:row>
      <xdr:rowOff>20647</xdr:rowOff>
    </xdr:from>
    <xdr:to>
      <xdr:col>11</xdr:col>
      <xdr:colOff>1</xdr:colOff>
      <xdr:row>7</xdr:row>
      <xdr:rowOff>173047</xdr:rowOff>
    </xdr:to>
    <xdr:sp macro="" textlink="">
      <xdr:nvSpPr>
        <xdr:cNvPr id="7" name="Pentagon 5">
          <a:extLst>
            <a:ext uri="{FF2B5EF4-FFF2-40B4-BE49-F238E27FC236}">
              <a16:creationId xmlns:a16="http://schemas.microsoft.com/office/drawing/2014/main" id="{61A435BC-B311-4106-9443-844809F57903}"/>
            </a:ext>
          </a:extLst>
        </xdr:cNvPr>
        <xdr:cNvSpPr/>
      </xdr:nvSpPr>
      <xdr:spPr>
        <a:xfrm>
          <a:off x="13442438" y="1245290"/>
          <a:ext cx="1402956" cy="533400"/>
        </a:xfrm>
        <a:prstGeom prst="homePlate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/>
            <a:t>Fix bugs</a:t>
          </a:r>
        </a:p>
      </xdr:txBody>
    </xdr:sp>
    <xdr:clientData/>
  </xdr:twoCellAnchor>
  <xdr:oneCellAnchor>
    <xdr:from>
      <xdr:col>9</xdr:col>
      <xdr:colOff>0</xdr:colOff>
      <xdr:row>7</xdr:row>
      <xdr:rowOff>130037</xdr:rowOff>
    </xdr:from>
    <xdr:ext cx="1217706" cy="31149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4DC0FEF-00AD-4A4F-9CD4-F2C99361CF5B}"/>
            </a:ext>
          </a:extLst>
        </xdr:cNvPr>
        <xdr:cNvSpPr txBox="1"/>
      </xdr:nvSpPr>
      <xdr:spPr>
        <a:xfrm>
          <a:off x="10364856" y="1730237"/>
          <a:ext cx="121770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/>
            <a:t>DE DRW issue</a:t>
          </a:r>
        </a:p>
      </xdr:txBody>
    </xdr:sp>
    <xdr:clientData/>
  </xdr:oneCellAnchor>
  <xdr:oneCellAnchor>
    <xdr:from>
      <xdr:col>3</xdr:col>
      <xdr:colOff>1246414</xdr:colOff>
      <xdr:row>7</xdr:row>
      <xdr:rowOff>100693</xdr:rowOff>
    </xdr:from>
    <xdr:ext cx="1407373" cy="31149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2449C69-126E-4E41-A831-453EDA082D7E}"/>
            </a:ext>
          </a:extLst>
        </xdr:cNvPr>
        <xdr:cNvSpPr txBox="1"/>
      </xdr:nvSpPr>
      <xdr:spPr>
        <a:xfrm>
          <a:off x="5165271" y="1706336"/>
          <a:ext cx="1407373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/>
            <a:t>ADV</a:t>
          </a:r>
          <a:r>
            <a:rPr lang="en-US" sz="1400" b="1" baseline="0"/>
            <a:t> start coding</a:t>
          </a:r>
          <a:endParaRPr lang="en-US" sz="1400" b="1"/>
        </a:p>
      </xdr:txBody>
    </xdr:sp>
    <xdr:clientData/>
  </xdr:oneCellAnchor>
  <xdr:twoCellAnchor>
    <xdr:from>
      <xdr:col>3</xdr:col>
      <xdr:colOff>1564821</xdr:colOff>
      <xdr:row>8</xdr:row>
      <xdr:rowOff>190499</xdr:rowOff>
    </xdr:from>
    <xdr:to>
      <xdr:col>4</xdr:col>
      <xdr:colOff>123824</xdr:colOff>
      <xdr:row>10</xdr:row>
      <xdr:rowOff>54426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409D408A-ACF5-4F94-8727-7C33DE49E396}"/>
            </a:ext>
          </a:extLst>
        </xdr:cNvPr>
        <xdr:cNvSpPr/>
      </xdr:nvSpPr>
      <xdr:spPr>
        <a:xfrm rot="10800000">
          <a:off x="5483678" y="1986642"/>
          <a:ext cx="273503" cy="244927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1333500</xdr:colOff>
      <xdr:row>13</xdr:row>
      <xdr:rowOff>54153</xdr:rowOff>
    </xdr:from>
    <xdr:to>
      <xdr:col>9</xdr:col>
      <xdr:colOff>0</xdr:colOff>
      <xdr:row>14</xdr:row>
      <xdr:rowOff>13606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545CA4F1-77F0-42D9-B99B-A3D24F1234BF}"/>
            </a:ext>
          </a:extLst>
        </xdr:cNvPr>
        <xdr:cNvSpPr/>
      </xdr:nvSpPr>
      <xdr:spPr>
        <a:xfrm rot="10800000">
          <a:off x="13824857" y="2802796"/>
          <a:ext cx="381000" cy="149953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4</xdr:col>
      <xdr:colOff>160022</xdr:colOff>
      <xdr:row>15</xdr:row>
      <xdr:rowOff>230103</xdr:rowOff>
    </xdr:from>
    <xdr:ext cx="527260" cy="248851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CE566CF-BE9C-42E0-A129-6AF19AB14FE6}"/>
            </a:ext>
          </a:extLst>
        </xdr:cNvPr>
        <xdr:cNvSpPr txBox="1"/>
      </xdr:nvSpPr>
      <xdr:spPr>
        <a:xfrm>
          <a:off x="4579622" y="3354303"/>
          <a:ext cx="527260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sz="1000" b="0"/>
            <a:t>2week</a:t>
          </a:r>
        </a:p>
      </xdr:txBody>
    </xdr:sp>
    <xdr:clientData/>
  </xdr:oneCellAnchor>
  <xdr:oneCellAnchor>
    <xdr:from>
      <xdr:col>9</xdr:col>
      <xdr:colOff>0</xdr:colOff>
      <xdr:row>10</xdr:row>
      <xdr:rowOff>50753</xdr:rowOff>
    </xdr:from>
    <xdr:ext cx="971933" cy="46807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BE0D8CBC-48AF-4CE5-856D-B8C83EC19B8D}"/>
            </a:ext>
          </a:extLst>
        </xdr:cNvPr>
        <xdr:cNvSpPr txBox="1"/>
      </xdr:nvSpPr>
      <xdr:spPr>
        <a:xfrm>
          <a:off x="9764594" y="2222453"/>
          <a:ext cx="971933" cy="468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sz="1200" b="0" baseline="0">
              <a:solidFill>
                <a:srgbClr val="FF0000"/>
              </a:solidFill>
            </a:rPr>
            <a:t>Test</a:t>
          </a:r>
        </a:p>
        <a:p>
          <a:pPr algn="ctr"/>
          <a:r>
            <a:rPr lang="en-US" sz="1200" b="0" baseline="0">
              <a:solidFill>
                <a:srgbClr val="FF0000"/>
              </a:solidFill>
            </a:rPr>
            <a:t>final request</a:t>
          </a:r>
          <a:endParaRPr lang="en-US" sz="1200" b="0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0</xdr:colOff>
      <xdr:row>11</xdr:row>
      <xdr:rowOff>123825</xdr:rowOff>
    </xdr:from>
    <xdr:ext cx="1344342" cy="311496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C81F045E-FC0D-4BC2-BA5D-69842C4FBC11}"/>
            </a:ext>
          </a:extLst>
        </xdr:cNvPr>
        <xdr:cNvSpPr txBox="1"/>
      </xdr:nvSpPr>
      <xdr:spPr>
        <a:xfrm>
          <a:off x="8391488" y="2486025"/>
          <a:ext cx="1344342" cy="31149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sz="1400" b="1"/>
            <a:t>C-BOM</a:t>
          </a:r>
          <a:r>
            <a:rPr lang="en-US" sz="1400" b="1" baseline="0"/>
            <a:t> analysis</a:t>
          </a:r>
          <a:endParaRPr lang="en-US" sz="1400" b="1"/>
        </a:p>
      </xdr:txBody>
    </xdr:sp>
    <xdr:clientData/>
  </xdr:oneCellAnchor>
  <xdr:oneCellAnchor>
    <xdr:from>
      <xdr:col>8</xdr:col>
      <xdr:colOff>82826</xdr:colOff>
      <xdr:row>11</xdr:row>
      <xdr:rowOff>159026</xdr:rowOff>
    </xdr:from>
    <xdr:ext cx="1025602" cy="311496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9A076DE-219E-4F7A-A33F-F1E40226B427}"/>
            </a:ext>
          </a:extLst>
        </xdr:cNvPr>
        <xdr:cNvSpPr txBox="1"/>
      </xdr:nvSpPr>
      <xdr:spPr>
        <a:xfrm>
          <a:off x="12574183" y="2526669"/>
          <a:ext cx="102560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/>
            <a:t>Code finish</a:t>
          </a:r>
        </a:p>
      </xdr:txBody>
    </xdr:sp>
    <xdr:clientData/>
  </xdr:oneCellAnchor>
  <xdr:twoCellAnchor>
    <xdr:from>
      <xdr:col>8</xdr:col>
      <xdr:colOff>1374322</xdr:colOff>
      <xdr:row>8</xdr:row>
      <xdr:rowOff>81580</xdr:rowOff>
    </xdr:from>
    <xdr:to>
      <xdr:col>9</xdr:col>
      <xdr:colOff>0</xdr:colOff>
      <xdr:row>9</xdr:row>
      <xdr:rowOff>27213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2518930B-3EE0-4AC2-8B26-52B1760B2F0C}"/>
            </a:ext>
          </a:extLst>
        </xdr:cNvPr>
        <xdr:cNvSpPr/>
      </xdr:nvSpPr>
      <xdr:spPr>
        <a:xfrm rot="10800000">
          <a:off x="13865679" y="1877723"/>
          <a:ext cx="340178" cy="136133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602718</xdr:colOff>
      <xdr:row>17</xdr:row>
      <xdr:rowOff>16567</xdr:rowOff>
    </xdr:from>
    <xdr:to>
      <xdr:col>5</xdr:col>
      <xdr:colOff>188225</xdr:colOff>
      <xdr:row>18</xdr:row>
      <xdr:rowOff>0</xdr:rowOff>
    </xdr:to>
    <xdr:sp macro="" textlink="">
      <xdr:nvSpPr>
        <xdr:cNvPr id="21" name="Pentagon 19">
          <a:extLst>
            <a:ext uri="{FF2B5EF4-FFF2-40B4-BE49-F238E27FC236}">
              <a16:creationId xmlns:a16="http://schemas.microsoft.com/office/drawing/2014/main" id="{9E1CB8B8-DB94-4B8A-A7DD-D1832CBC116D}"/>
            </a:ext>
          </a:extLst>
        </xdr:cNvPr>
        <xdr:cNvSpPr/>
      </xdr:nvSpPr>
      <xdr:spPr>
        <a:xfrm>
          <a:off x="4412718" y="3569392"/>
          <a:ext cx="804707" cy="173933"/>
        </a:xfrm>
        <a:prstGeom prst="homePlate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</a:rPr>
            <a:t>Assy Flow </a:t>
          </a:r>
        </a:p>
      </xdr:txBody>
    </xdr:sp>
    <xdr:clientData/>
  </xdr:twoCellAnchor>
  <xdr:oneCellAnchor>
    <xdr:from>
      <xdr:col>5</xdr:col>
      <xdr:colOff>356243</xdr:colOff>
      <xdr:row>8</xdr:row>
      <xdr:rowOff>141739</xdr:rowOff>
    </xdr:from>
    <xdr:ext cx="984308" cy="280205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11482453-3E82-4B0B-8666-D06FDB1186C8}"/>
            </a:ext>
          </a:extLst>
        </xdr:cNvPr>
        <xdr:cNvSpPr txBox="1"/>
      </xdr:nvSpPr>
      <xdr:spPr>
        <a:xfrm>
          <a:off x="7704100" y="1937882"/>
          <a:ext cx="984308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sz="1200" b="0"/>
            <a:t>~ 2.5 months</a:t>
          </a:r>
        </a:p>
      </xdr:txBody>
    </xdr:sp>
    <xdr:clientData/>
  </xdr:oneCellAnchor>
  <xdr:oneCellAnchor>
    <xdr:from>
      <xdr:col>9</xdr:col>
      <xdr:colOff>0</xdr:colOff>
      <xdr:row>8</xdr:row>
      <xdr:rowOff>122327</xdr:rowOff>
    </xdr:from>
    <xdr:ext cx="886461" cy="280205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2C91356D-6B47-47E9-920D-96DCD65D7AB9}"/>
            </a:ext>
          </a:extLst>
        </xdr:cNvPr>
        <xdr:cNvSpPr txBox="1"/>
      </xdr:nvSpPr>
      <xdr:spPr>
        <a:xfrm>
          <a:off x="7884931" y="1913027"/>
          <a:ext cx="88646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sz="1200" b="0"/>
            <a:t>~ 2 months</a:t>
          </a:r>
        </a:p>
      </xdr:txBody>
    </xdr:sp>
    <xdr:clientData/>
  </xdr:oneCellAnchor>
  <xdr:oneCellAnchor>
    <xdr:from>
      <xdr:col>9</xdr:col>
      <xdr:colOff>0</xdr:colOff>
      <xdr:row>14</xdr:row>
      <xdr:rowOff>11594</xdr:rowOff>
    </xdr:from>
    <xdr:ext cx="802656" cy="26420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1DF30229-3D9D-463C-838B-BC00A318C14F}"/>
            </a:ext>
          </a:extLst>
        </xdr:cNvPr>
        <xdr:cNvSpPr txBox="1"/>
      </xdr:nvSpPr>
      <xdr:spPr>
        <a:xfrm>
          <a:off x="10191973" y="2945294"/>
          <a:ext cx="802656" cy="26420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sz="1000" b="0"/>
            <a:t>~ 1.5 week</a:t>
          </a:r>
        </a:p>
      </xdr:txBody>
    </xdr:sp>
    <xdr:clientData/>
  </xdr:oneCellAnchor>
  <xdr:twoCellAnchor>
    <xdr:from>
      <xdr:col>5</xdr:col>
      <xdr:colOff>222593</xdr:colOff>
      <xdr:row>26</xdr:row>
      <xdr:rowOff>163193</xdr:rowOff>
    </xdr:from>
    <xdr:to>
      <xdr:col>7</xdr:col>
      <xdr:colOff>395653</xdr:colOff>
      <xdr:row>27</xdr:row>
      <xdr:rowOff>153536</xdr:rowOff>
    </xdr:to>
    <xdr:sp macro="" textlink="">
      <xdr:nvSpPr>
        <xdr:cNvPr id="32" name="Pentagon 30">
          <a:extLst>
            <a:ext uri="{FF2B5EF4-FFF2-40B4-BE49-F238E27FC236}">
              <a16:creationId xmlns:a16="http://schemas.microsoft.com/office/drawing/2014/main" id="{12541E8D-7C70-4B1E-BA39-5FDAA0AA4754}"/>
            </a:ext>
          </a:extLst>
        </xdr:cNvPr>
        <xdr:cNvSpPr/>
      </xdr:nvSpPr>
      <xdr:spPr>
        <a:xfrm>
          <a:off x="5251793" y="5430518"/>
          <a:ext cx="1392260" cy="180843"/>
        </a:xfrm>
        <a:prstGeom prst="homePlat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>
              <a:solidFill>
                <a:sysClr val="windowText" lastClr="000000"/>
              </a:solidFill>
            </a:rPr>
            <a:t>Function</a:t>
          </a:r>
          <a:r>
            <a:rPr lang="en-US" sz="700" baseline="0">
              <a:solidFill>
                <a:sysClr val="windowText" lastClr="000000"/>
              </a:solidFill>
            </a:rPr>
            <a:t> </a:t>
          </a:r>
          <a:r>
            <a:rPr lang="en-US" sz="700">
              <a:solidFill>
                <a:sysClr val="windowText" lastClr="000000"/>
              </a:solidFill>
            </a:rPr>
            <a:t>Inspection</a:t>
          </a:r>
          <a:r>
            <a:rPr lang="en-US" sz="700" baseline="0">
              <a:solidFill>
                <a:sysClr val="windowText" lastClr="000000"/>
              </a:solidFill>
            </a:rPr>
            <a:t> </a:t>
          </a:r>
          <a:r>
            <a:rPr lang="en-US" sz="700">
              <a:solidFill>
                <a:sysClr val="windowText" lastClr="000000"/>
              </a:solidFill>
            </a:rPr>
            <a:t>making</a:t>
          </a:r>
        </a:p>
      </xdr:txBody>
    </xdr:sp>
    <xdr:clientData/>
  </xdr:twoCellAnchor>
  <xdr:oneCellAnchor>
    <xdr:from>
      <xdr:col>6</xdr:col>
      <xdr:colOff>52031</xdr:colOff>
      <xdr:row>25</xdr:row>
      <xdr:rowOff>174603</xdr:rowOff>
    </xdr:from>
    <xdr:ext cx="481927" cy="217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DDAA1D74-A104-4316-B752-D6DDEB00222F}"/>
            </a:ext>
          </a:extLst>
        </xdr:cNvPr>
        <xdr:cNvSpPr txBox="1"/>
      </xdr:nvSpPr>
      <xdr:spPr>
        <a:xfrm>
          <a:off x="5690831" y="5251428"/>
          <a:ext cx="481927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sz="800" b="0" baseline="0"/>
            <a:t>2 week</a:t>
          </a:r>
          <a:endParaRPr lang="en-US" sz="800" b="0"/>
        </a:p>
      </xdr:txBody>
    </xdr:sp>
    <xdr:clientData/>
  </xdr:oneCellAnchor>
  <xdr:twoCellAnchor>
    <xdr:from>
      <xdr:col>4</xdr:col>
      <xdr:colOff>1625</xdr:colOff>
      <xdr:row>21</xdr:row>
      <xdr:rowOff>14654</xdr:rowOff>
    </xdr:from>
    <xdr:to>
      <xdr:col>6</xdr:col>
      <xdr:colOff>205154</xdr:colOff>
      <xdr:row>22</xdr:row>
      <xdr:rowOff>0</xdr:rowOff>
    </xdr:to>
    <xdr:sp macro="" textlink="">
      <xdr:nvSpPr>
        <xdr:cNvPr id="34" name="Pentagon 32">
          <a:extLst>
            <a:ext uri="{FF2B5EF4-FFF2-40B4-BE49-F238E27FC236}">
              <a16:creationId xmlns:a16="http://schemas.microsoft.com/office/drawing/2014/main" id="{43BF31A7-63CB-458C-A800-AE5A33F21CB8}"/>
            </a:ext>
          </a:extLst>
        </xdr:cNvPr>
        <xdr:cNvSpPr/>
      </xdr:nvSpPr>
      <xdr:spPr>
        <a:xfrm>
          <a:off x="4421225" y="4329479"/>
          <a:ext cx="1422729" cy="175846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>
              <a:solidFill>
                <a:sysClr val="windowText" lastClr="000000"/>
              </a:solidFill>
            </a:rPr>
            <a:t>ASSY ST calculation(PIA)</a:t>
          </a:r>
        </a:p>
      </xdr:txBody>
    </xdr:sp>
    <xdr:clientData/>
  </xdr:twoCellAnchor>
  <xdr:twoCellAnchor>
    <xdr:from>
      <xdr:col>6</xdr:col>
      <xdr:colOff>64191</xdr:colOff>
      <xdr:row>22</xdr:row>
      <xdr:rowOff>28575</xdr:rowOff>
    </xdr:from>
    <xdr:to>
      <xdr:col>7</xdr:col>
      <xdr:colOff>400707</xdr:colOff>
      <xdr:row>23</xdr:row>
      <xdr:rowOff>3727</xdr:rowOff>
    </xdr:to>
    <xdr:sp macro="" textlink="">
      <xdr:nvSpPr>
        <xdr:cNvPr id="35" name="Pentagon 33">
          <a:extLst>
            <a:ext uri="{FF2B5EF4-FFF2-40B4-BE49-F238E27FC236}">
              <a16:creationId xmlns:a16="http://schemas.microsoft.com/office/drawing/2014/main" id="{E2522E05-8EA8-4632-958C-E5B595AB0179}"/>
            </a:ext>
          </a:extLst>
        </xdr:cNvPr>
        <xdr:cNvSpPr/>
      </xdr:nvSpPr>
      <xdr:spPr>
        <a:xfrm>
          <a:off x="5702991" y="4533900"/>
          <a:ext cx="946116" cy="165652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ST Balance</a:t>
          </a:r>
        </a:p>
      </xdr:txBody>
    </xdr:sp>
    <xdr:clientData/>
  </xdr:twoCellAnchor>
  <xdr:oneCellAnchor>
    <xdr:from>
      <xdr:col>4</xdr:col>
      <xdr:colOff>332884</xdr:colOff>
      <xdr:row>20</xdr:row>
      <xdr:rowOff>15101</xdr:rowOff>
    </xdr:from>
    <xdr:ext cx="626518" cy="248851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81DA03CE-5C90-47D6-8F0F-06ED1A937146}"/>
            </a:ext>
          </a:extLst>
        </xdr:cNvPr>
        <xdr:cNvSpPr txBox="1"/>
      </xdr:nvSpPr>
      <xdr:spPr>
        <a:xfrm>
          <a:off x="4752484" y="4139426"/>
          <a:ext cx="626518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sz="1000" b="0" baseline="0"/>
            <a:t>1 month</a:t>
          </a:r>
          <a:endParaRPr lang="en-US" sz="1000" b="0"/>
        </a:p>
      </xdr:txBody>
    </xdr:sp>
    <xdr:clientData/>
  </xdr:oneCellAnchor>
  <xdr:oneCellAnchor>
    <xdr:from>
      <xdr:col>6</xdr:col>
      <xdr:colOff>165387</xdr:colOff>
      <xdr:row>21</xdr:row>
      <xdr:rowOff>24218</xdr:rowOff>
    </xdr:from>
    <xdr:ext cx="564257" cy="233205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7938B18A-30F5-43DA-943B-E8F31AAE7776}"/>
            </a:ext>
          </a:extLst>
        </xdr:cNvPr>
        <xdr:cNvSpPr txBox="1"/>
      </xdr:nvSpPr>
      <xdr:spPr>
        <a:xfrm>
          <a:off x="5804187" y="4339043"/>
          <a:ext cx="564257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sz="900" b="0" baseline="0"/>
            <a:t>1 weeks</a:t>
          </a:r>
          <a:endParaRPr lang="en-US" sz="900" b="0"/>
        </a:p>
      </xdr:txBody>
    </xdr:sp>
    <xdr:clientData/>
  </xdr:oneCellAnchor>
  <xdr:twoCellAnchor>
    <xdr:from>
      <xdr:col>5</xdr:col>
      <xdr:colOff>223015</xdr:colOff>
      <xdr:row>28</xdr:row>
      <xdr:rowOff>10636</xdr:rowOff>
    </xdr:from>
    <xdr:to>
      <xdr:col>8</xdr:col>
      <xdr:colOff>238125</xdr:colOff>
      <xdr:row>29</xdr:row>
      <xdr:rowOff>33132</xdr:rowOff>
    </xdr:to>
    <xdr:sp macro="" textlink="">
      <xdr:nvSpPr>
        <xdr:cNvPr id="38" name="Pentagon 36">
          <a:extLst>
            <a:ext uri="{FF2B5EF4-FFF2-40B4-BE49-F238E27FC236}">
              <a16:creationId xmlns:a16="http://schemas.microsoft.com/office/drawing/2014/main" id="{32311D85-DEDB-45DA-BB5E-AEEC815E9593}"/>
            </a:ext>
          </a:extLst>
        </xdr:cNvPr>
        <xdr:cNvSpPr/>
      </xdr:nvSpPr>
      <xdr:spPr>
        <a:xfrm>
          <a:off x="5252215" y="5658961"/>
          <a:ext cx="1843910" cy="212996"/>
        </a:xfrm>
        <a:prstGeom prst="homePlat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>
              <a:solidFill>
                <a:sysClr val="windowText" lastClr="000000"/>
              </a:solidFill>
            </a:rPr>
            <a:t>JKK Inspection method analysis</a:t>
          </a:r>
        </a:p>
      </xdr:txBody>
    </xdr:sp>
    <xdr:clientData/>
  </xdr:twoCellAnchor>
  <xdr:twoCellAnchor>
    <xdr:from>
      <xdr:col>3</xdr:col>
      <xdr:colOff>381000</xdr:colOff>
      <xdr:row>41</xdr:row>
      <xdr:rowOff>95251</xdr:rowOff>
    </xdr:from>
    <xdr:to>
      <xdr:col>6</xdr:col>
      <xdr:colOff>276353</xdr:colOff>
      <xdr:row>43</xdr:row>
      <xdr:rowOff>1</xdr:rowOff>
    </xdr:to>
    <xdr:sp macro="" textlink="">
      <xdr:nvSpPr>
        <xdr:cNvPr id="39" name="Pentagon 37">
          <a:extLst>
            <a:ext uri="{FF2B5EF4-FFF2-40B4-BE49-F238E27FC236}">
              <a16:creationId xmlns:a16="http://schemas.microsoft.com/office/drawing/2014/main" id="{388161BF-41CE-4524-AF19-E66C428AC12E}"/>
            </a:ext>
          </a:extLst>
        </xdr:cNvPr>
        <xdr:cNvSpPr/>
      </xdr:nvSpPr>
      <xdr:spPr>
        <a:xfrm>
          <a:off x="4191000" y="8315326"/>
          <a:ext cx="1724153" cy="285750"/>
        </a:xfrm>
        <a:prstGeom prst="homePlate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ysClr val="windowText" lastClr="000000"/>
              </a:solidFill>
            </a:rPr>
            <a:t>DC</a:t>
          </a:r>
          <a:r>
            <a:rPr lang="en-US" sz="1000" b="1" baseline="0">
              <a:solidFill>
                <a:sysClr val="windowText" lastClr="000000"/>
              </a:solidFill>
            </a:rPr>
            <a:t> problem analys</a:t>
          </a:r>
          <a:endParaRPr lang="en-US" sz="1000" b="1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4</xdr:col>
      <xdr:colOff>352861</xdr:colOff>
      <xdr:row>40</xdr:row>
      <xdr:rowOff>94346</xdr:rowOff>
    </xdr:from>
    <xdr:ext cx="6194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2E4CDE69-C5C4-4747-A601-76E426992447}"/>
            </a:ext>
          </a:extLst>
        </xdr:cNvPr>
        <xdr:cNvSpPr txBox="1"/>
      </xdr:nvSpPr>
      <xdr:spPr>
        <a:xfrm>
          <a:off x="4772461" y="8123921"/>
          <a:ext cx="6194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100" b="0"/>
            <a:t>4weeks</a:t>
          </a:r>
        </a:p>
      </xdr:txBody>
    </xdr:sp>
    <xdr:clientData/>
  </xdr:oneCellAnchor>
  <xdr:twoCellAnchor>
    <xdr:from>
      <xdr:col>7</xdr:col>
      <xdr:colOff>401617</xdr:colOff>
      <xdr:row>18</xdr:row>
      <xdr:rowOff>164306</xdr:rowOff>
    </xdr:from>
    <xdr:to>
      <xdr:col>9</xdr:col>
      <xdr:colOff>0</xdr:colOff>
      <xdr:row>19</xdr:row>
      <xdr:rowOff>147738</xdr:rowOff>
    </xdr:to>
    <xdr:sp macro="" textlink="">
      <xdr:nvSpPr>
        <xdr:cNvPr id="43" name="Pentagon 41">
          <a:extLst>
            <a:ext uri="{FF2B5EF4-FFF2-40B4-BE49-F238E27FC236}">
              <a16:creationId xmlns:a16="http://schemas.microsoft.com/office/drawing/2014/main" id="{F996384D-75B7-42D1-9108-960614BC06A4}"/>
            </a:ext>
          </a:extLst>
        </xdr:cNvPr>
        <xdr:cNvSpPr/>
      </xdr:nvSpPr>
      <xdr:spPr>
        <a:xfrm>
          <a:off x="6650017" y="3907631"/>
          <a:ext cx="970722" cy="173932"/>
        </a:xfrm>
        <a:prstGeom prst="homePlate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     C-BOM Sharing </a:t>
          </a:r>
        </a:p>
      </xdr:txBody>
    </xdr:sp>
    <xdr:clientData/>
  </xdr:twoCellAnchor>
  <xdr:twoCellAnchor>
    <xdr:from>
      <xdr:col>9</xdr:col>
      <xdr:colOff>68036</xdr:colOff>
      <xdr:row>9</xdr:row>
      <xdr:rowOff>134068</xdr:rowOff>
    </xdr:from>
    <xdr:to>
      <xdr:col>10</xdr:col>
      <xdr:colOff>1714499</xdr:colOff>
      <xdr:row>10</xdr:row>
      <xdr:rowOff>136071</xdr:rowOff>
    </xdr:to>
    <xdr:sp macro="" textlink="">
      <xdr:nvSpPr>
        <xdr:cNvPr id="51" name="Pentagon 49">
          <a:extLst>
            <a:ext uri="{FF2B5EF4-FFF2-40B4-BE49-F238E27FC236}">
              <a16:creationId xmlns:a16="http://schemas.microsoft.com/office/drawing/2014/main" id="{A9E7E44A-2A0A-4D8B-87E8-D902EA1ACE6D}"/>
            </a:ext>
          </a:extLst>
        </xdr:cNvPr>
        <xdr:cNvSpPr/>
      </xdr:nvSpPr>
      <xdr:spPr>
        <a:xfrm>
          <a:off x="14273893" y="2120711"/>
          <a:ext cx="3360963" cy="192503"/>
        </a:xfrm>
        <a:prstGeom prst="homePlate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baseline="0">
              <a:solidFill>
                <a:sysClr val="windowText" lastClr="000000"/>
              </a:solidFill>
            </a:rPr>
            <a:t>Transfer to Launching project</a:t>
          </a:r>
          <a:endParaRPr lang="en-US" sz="1200" b="1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5</xdr:col>
      <xdr:colOff>364985</xdr:colOff>
      <xdr:row>11</xdr:row>
      <xdr:rowOff>141632</xdr:rowOff>
    </xdr:from>
    <xdr:ext cx="919932" cy="311496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670B450-2149-43F5-93EE-96EF5EA8FCCE}"/>
            </a:ext>
          </a:extLst>
        </xdr:cNvPr>
        <xdr:cNvSpPr txBox="1"/>
      </xdr:nvSpPr>
      <xdr:spPr>
        <a:xfrm>
          <a:off x="7712842" y="2509275"/>
          <a:ext cx="919932" cy="31149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sz="1400" b="1"/>
            <a:t>UI</a:t>
          </a:r>
          <a:r>
            <a:rPr lang="en-US" sz="1400" b="1" baseline="0"/>
            <a:t> making</a:t>
          </a:r>
          <a:endParaRPr lang="en-US" sz="1400" b="1"/>
        </a:p>
      </xdr:txBody>
    </xdr:sp>
    <xdr:clientData/>
  </xdr:oneCellAnchor>
  <xdr:twoCellAnchor>
    <xdr:from>
      <xdr:col>3</xdr:col>
      <xdr:colOff>589304</xdr:colOff>
      <xdr:row>43</xdr:row>
      <xdr:rowOff>67507</xdr:rowOff>
    </xdr:from>
    <xdr:to>
      <xdr:col>6</xdr:col>
      <xdr:colOff>302728</xdr:colOff>
      <xdr:row>44</xdr:row>
      <xdr:rowOff>59220</xdr:rowOff>
    </xdr:to>
    <xdr:sp macro="" textlink="">
      <xdr:nvSpPr>
        <xdr:cNvPr id="56" name="Pentagon 54">
          <a:extLst>
            <a:ext uri="{FF2B5EF4-FFF2-40B4-BE49-F238E27FC236}">
              <a16:creationId xmlns:a16="http://schemas.microsoft.com/office/drawing/2014/main" id="{D027FD14-D3E0-441E-8063-8A19D07D0306}"/>
            </a:ext>
          </a:extLst>
        </xdr:cNvPr>
        <xdr:cNvSpPr/>
      </xdr:nvSpPr>
      <xdr:spPr>
        <a:xfrm>
          <a:off x="4399304" y="8668582"/>
          <a:ext cx="1542224" cy="182213"/>
        </a:xfrm>
        <a:prstGeom prst="homePlat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</a:rPr>
            <a:t>PCB process</a:t>
          </a:r>
          <a:r>
            <a:rPr lang="en-US" sz="1000" baseline="0">
              <a:solidFill>
                <a:sysClr val="windowText" lastClr="000000"/>
              </a:solidFill>
            </a:rPr>
            <a:t> analysis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597587</xdr:colOff>
      <xdr:row>45</xdr:row>
      <xdr:rowOff>42660</xdr:rowOff>
    </xdr:from>
    <xdr:to>
      <xdr:col>6</xdr:col>
      <xdr:colOff>344141</xdr:colOff>
      <xdr:row>46</xdr:row>
      <xdr:rowOff>9526</xdr:rowOff>
    </xdr:to>
    <xdr:sp macro="" textlink="">
      <xdr:nvSpPr>
        <xdr:cNvPr id="57" name="Pentagon 55">
          <a:extLst>
            <a:ext uri="{FF2B5EF4-FFF2-40B4-BE49-F238E27FC236}">
              <a16:creationId xmlns:a16="http://schemas.microsoft.com/office/drawing/2014/main" id="{8CCD2C69-976D-4199-9DA8-13AF60D074A4}"/>
            </a:ext>
          </a:extLst>
        </xdr:cNvPr>
        <xdr:cNvSpPr/>
      </xdr:nvSpPr>
      <xdr:spPr>
        <a:xfrm>
          <a:off x="4407587" y="9024735"/>
          <a:ext cx="1575354" cy="157366"/>
        </a:xfrm>
        <a:prstGeom prst="homePlat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aseline="0">
              <a:solidFill>
                <a:sysClr val="windowText" lastClr="000000"/>
              </a:solidFill>
            </a:rPr>
            <a:t>ASSY proces analysis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185530</xdr:colOff>
      <xdr:row>41</xdr:row>
      <xdr:rowOff>81582</xdr:rowOff>
    </xdr:from>
    <xdr:to>
      <xdr:col>6</xdr:col>
      <xdr:colOff>426967</xdr:colOff>
      <xdr:row>42</xdr:row>
      <xdr:rowOff>27329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5C09CD87-B048-4B7E-96B8-3D5E8426E269}"/>
            </a:ext>
          </a:extLst>
        </xdr:cNvPr>
        <xdr:cNvSpPr/>
      </xdr:nvSpPr>
      <xdr:spPr>
        <a:xfrm rot="10800000">
          <a:off x="5824330" y="8301657"/>
          <a:ext cx="241437" cy="136247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5</xdr:col>
      <xdr:colOff>450264</xdr:colOff>
      <xdr:row>40</xdr:row>
      <xdr:rowOff>9940</xdr:rowOff>
    </xdr:from>
    <xdr:ext cx="979755" cy="280205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D7FC0B61-C24D-4FA0-8C23-97A1AFCC456D}"/>
            </a:ext>
          </a:extLst>
        </xdr:cNvPr>
        <xdr:cNvSpPr txBox="1"/>
      </xdr:nvSpPr>
      <xdr:spPr>
        <a:xfrm>
          <a:off x="5479464" y="8039515"/>
          <a:ext cx="979755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sz="1200" b="0" baseline="0">
              <a:solidFill>
                <a:srgbClr val="FF0000"/>
              </a:solidFill>
            </a:rPr>
            <a:t>1st feedback</a:t>
          </a:r>
          <a:endParaRPr lang="en-US" sz="1200" b="0">
            <a:solidFill>
              <a:srgbClr val="FF0000"/>
            </a:solidFill>
          </a:endParaRPr>
        </a:p>
      </xdr:txBody>
    </xdr:sp>
    <xdr:clientData/>
  </xdr:oneCellAnchor>
  <xdr:twoCellAnchor>
    <xdr:from>
      <xdr:col>6</xdr:col>
      <xdr:colOff>9523</xdr:colOff>
      <xdr:row>48</xdr:row>
      <xdr:rowOff>59224</xdr:rowOff>
    </xdr:from>
    <xdr:to>
      <xdr:col>8</xdr:col>
      <xdr:colOff>484946</xdr:colOff>
      <xdr:row>49</xdr:row>
      <xdr:rowOff>50938</xdr:rowOff>
    </xdr:to>
    <xdr:sp macro="" textlink="">
      <xdr:nvSpPr>
        <xdr:cNvPr id="60" name="Pentagon 58">
          <a:extLst>
            <a:ext uri="{FF2B5EF4-FFF2-40B4-BE49-F238E27FC236}">
              <a16:creationId xmlns:a16="http://schemas.microsoft.com/office/drawing/2014/main" id="{094711CE-ADDA-4C28-8B19-5707F8AE1CDA}"/>
            </a:ext>
          </a:extLst>
        </xdr:cNvPr>
        <xdr:cNvSpPr/>
      </xdr:nvSpPr>
      <xdr:spPr>
        <a:xfrm>
          <a:off x="5648323" y="9612799"/>
          <a:ext cx="1694623" cy="182214"/>
        </a:xfrm>
        <a:prstGeom prst="homePlat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aseline="0">
              <a:solidFill>
                <a:sysClr val="windowText" lastClr="000000"/>
              </a:solidFill>
            </a:rPr>
            <a:t>QBOP analysis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9522</xdr:colOff>
      <xdr:row>49</xdr:row>
      <xdr:rowOff>117203</xdr:rowOff>
    </xdr:from>
    <xdr:to>
      <xdr:col>8</xdr:col>
      <xdr:colOff>468380</xdr:colOff>
      <xdr:row>50</xdr:row>
      <xdr:rowOff>108916</xdr:rowOff>
    </xdr:to>
    <xdr:sp macro="" textlink="">
      <xdr:nvSpPr>
        <xdr:cNvPr id="61" name="Pentagon 59">
          <a:extLst>
            <a:ext uri="{FF2B5EF4-FFF2-40B4-BE49-F238E27FC236}">
              <a16:creationId xmlns:a16="http://schemas.microsoft.com/office/drawing/2014/main" id="{E6D9F702-861E-4EF2-8A64-89FBF70C0C52}"/>
            </a:ext>
          </a:extLst>
        </xdr:cNvPr>
        <xdr:cNvSpPr/>
      </xdr:nvSpPr>
      <xdr:spPr>
        <a:xfrm>
          <a:off x="5648322" y="9861278"/>
          <a:ext cx="1678058" cy="182213"/>
        </a:xfrm>
        <a:prstGeom prst="homePlat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aseline="0">
              <a:solidFill>
                <a:sysClr val="windowText" lastClr="000000"/>
              </a:solidFill>
            </a:rPr>
            <a:t>JKK analysis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335856</xdr:colOff>
      <xdr:row>43</xdr:row>
      <xdr:rowOff>75790</xdr:rowOff>
    </xdr:from>
    <xdr:to>
      <xdr:col>8</xdr:col>
      <xdr:colOff>418685</xdr:colOff>
      <xdr:row>44</xdr:row>
      <xdr:rowOff>42655</xdr:rowOff>
    </xdr:to>
    <xdr:sp macro="" textlink="">
      <xdr:nvSpPr>
        <xdr:cNvPr id="62" name="Pentagon 60">
          <a:extLst>
            <a:ext uri="{FF2B5EF4-FFF2-40B4-BE49-F238E27FC236}">
              <a16:creationId xmlns:a16="http://schemas.microsoft.com/office/drawing/2014/main" id="{C9D8979D-E592-4ED7-9FB7-5EBBD07D4520}"/>
            </a:ext>
          </a:extLst>
        </xdr:cNvPr>
        <xdr:cNvSpPr/>
      </xdr:nvSpPr>
      <xdr:spPr>
        <a:xfrm>
          <a:off x="5974656" y="8676865"/>
          <a:ext cx="1302029" cy="157365"/>
        </a:xfrm>
        <a:prstGeom prst="homePlat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</a:rPr>
            <a:t>PCB process</a:t>
          </a:r>
          <a:r>
            <a:rPr lang="en-US" sz="1000" baseline="0">
              <a:solidFill>
                <a:sysClr val="windowText" lastClr="000000"/>
              </a:solidFill>
            </a:rPr>
            <a:t> analysis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352421</xdr:colOff>
      <xdr:row>45</xdr:row>
      <xdr:rowOff>34376</xdr:rowOff>
    </xdr:from>
    <xdr:to>
      <xdr:col>8</xdr:col>
      <xdr:colOff>493229</xdr:colOff>
      <xdr:row>46</xdr:row>
      <xdr:rowOff>26090</xdr:rowOff>
    </xdr:to>
    <xdr:sp macro="" textlink="">
      <xdr:nvSpPr>
        <xdr:cNvPr id="63" name="Pentagon 61">
          <a:extLst>
            <a:ext uri="{FF2B5EF4-FFF2-40B4-BE49-F238E27FC236}">
              <a16:creationId xmlns:a16="http://schemas.microsoft.com/office/drawing/2014/main" id="{DD37B8BC-0491-47A5-B865-87006E544414}"/>
            </a:ext>
          </a:extLst>
        </xdr:cNvPr>
        <xdr:cNvSpPr/>
      </xdr:nvSpPr>
      <xdr:spPr>
        <a:xfrm>
          <a:off x="5991221" y="9016451"/>
          <a:ext cx="1360008" cy="182214"/>
        </a:xfrm>
        <a:prstGeom prst="homePlat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aseline="0">
              <a:solidFill>
                <a:sysClr val="windowText" lastClr="000000"/>
              </a:solidFill>
            </a:rPr>
            <a:t>ASSY proces analysis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376030</xdr:colOff>
      <xdr:row>41</xdr:row>
      <xdr:rowOff>65845</xdr:rowOff>
    </xdr:from>
    <xdr:to>
      <xdr:col>9</xdr:col>
      <xdr:colOff>0</xdr:colOff>
      <xdr:row>42</xdr:row>
      <xdr:rowOff>11592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31F4064E-5648-42E8-8DA0-4C1C38AD1800}"/>
            </a:ext>
          </a:extLst>
        </xdr:cNvPr>
        <xdr:cNvSpPr/>
      </xdr:nvSpPr>
      <xdr:spPr>
        <a:xfrm rot="10800000">
          <a:off x="7234030" y="8285920"/>
          <a:ext cx="238124" cy="136247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8</xdr:col>
      <xdr:colOff>5706</xdr:colOff>
      <xdr:row>39</xdr:row>
      <xdr:rowOff>228757</xdr:rowOff>
    </xdr:from>
    <xdr:ext cx="1064523" cy="280205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110090B2-8624-4F88-9968-9848DBB89406}"/>
            </a:ext>
          </a:extLst>
        </xdr:cNvPr>
        <xdr:cNvSpPr txBox="1"/>
      </xdr:nvSpPr>
      <xdr:spPr>
        <a:xfrm>
          <a:off x="6863706" y="8020207"/>
          <a:ext cx="1064523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sz="1200" b="0" baseline="0">
              <a:solidFill>
                <a:srgbClr val="FF0000"/>
              </a:solidFill>
            </a:rPr>
            <a:t>2nd feedback</a:t>
          </a:r>
          <a:endParaRPr lang="en-US" sz="1200" b="0">
            <a:solidFill>
              <a:srgbClr val="FF0000"/>
            </a:solidFill>
          </a:endParaRPr>
        </a:p>
      </xdr:txBody>
    </xdr:sp>
    <xdr:clientData/>
  </xdr:oneCellAnchor>
  <xdr:twoCellAnchor>
    <xdr:from>
      <xdr:col>6</xdr:col>
      <xdr:colOff>9522</xdr:colOff>
      <xdr:row>50</xdr:row>
      <xdr:rowOff>142051</xdr:rowOff>
    </xdr:from>
    <xdr:to>
      <xdr:col>8</xdr:col>
      <xdr:colOff>468380</xdr:colOff>
      <xdr:row>51</xdr:row>
      <xdr:rowOff>133764</xdr:rowOff>
    </xdr:to>
    <xdr:sp macro="" textlink="">
      <xdr:nvSpPr>
        <xdr:cNvPr id="66" name="Pentagon 64">
          <a:extLst>
            <a:ext uri="{FF2B5EF4-FFF2-40B4-BE49-F238E27FC236}">
              <a16:creationId xmlns:a16="http://schemas.microsoft.com/office/drawing/2014/main" id="{52D9B782-6F4F-4781-AA24-8BF513BA9B51}"/>
            </a:ext>
          </a:extLst>
        </xdr:cNvPr>
        <xdr:cNvSpPr/>
      </xdr:nvSpPr>
      <xdr:spPr>
        <a:xfrm>
          <a:off x="5648322" y="10076626"/>
          <a:ext cx="1678058" cy="182213"/>
        </a:xfrm>
        <a:prstGeom prst="homePlat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aseline="0">
              <a:solidFill>
                <a:sysClr val="windowText" lastClr="000000"/>
              </a:solidFill>
            </a:rPr>
            <a:t>inspection method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9</xdr:col>
      <xdr:colOff>0</xdr:colOff>
      <xdr:row>39</xdr:row>
      <xdr:rowOff>206808</xdr:rowOff>
    </xdr:from>
    <xdr:ext cx="1062215" cy="280205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8FB3D185-CF75-4B05-B2C7-D338D9C9CE04}"/>
            </a:ext>
          </a:extLst>
        </xdr:cNvPr>
        <xdr:cNvSpPr txBox="1"/>
      </xdr:nvSpPr>
      <xdr:spPr>
        <a:xfrm>
          <a:off x="9644505" y="7998258"/>
          <a:ext cx="1062215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sz="1200" b="0" baseline="0">
              <a:solidFill>
                <a:srgbClr val="FF0000"/>
              </a:solidFill>
            </a:rPr>
            <a:t>final feedback</a:t>
          </a:r>
          <a:endParaRPr lang="en-US" sz="1200" b="0">
            <a:solidFill>
              <a:srgbClr val="FF0000"/>
            </a:solidFill>
          </a:endParaRPr>
        </a:p>
      </xdr:txBody>
    </xdr:sp>
    <xdr:clientData/>
  </xdr:oneCellAnchor>
  <xdr:twoCellAnchor>
    <xdr:from>
      <xdr:col>9</xdr:col>
      <xdr:colOff>0</xdr:colOff>
      <xdr:row>41</xdr:row>
      <xdr:rowOff>104777</xdr:rowOff>
    </xdr:from>
    <xdr:to>
      <xdr:col>11</xdr:col>
      <xdr:colOff>482875</xdr:colOff>
      <xdr:row>43</xdr:row>
      <xdr:rowOff>38100</xdr:rowOff>
    </xdr:to>
    <xdr:sp macro="" textlink="">
      <xdr:nvSpPr>
        <xdr:cNvPr id="69" name="Pentagon 67">
          <a:extLst>
            <a:ext uri="{FF2B5EF4-FFF2-40B4-BE49-F238E27FC236}">
              <a16:creationId xmlns:a16="http://schemas.microsoft.com/office/drawing/2014/main" id="{52D2E061-4C1C-455E-95D7-F906A0B32756}"/>
            </a:ext>
          </a:extLst>
        </xdr:cNvPr>
        <xdr:cNvSpPr/>
      </xdr:nvSpPr>
      <xdr:spPr>
        <a:xfrm>
          <a:off x="10957059" y="8324852"/>
          <a:ext cx="1870216" cy="314323"/>
        </a:xfrm>
        <a:prstGeom prst="homePlate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 baseline="0">
              <a:solidFill>
                <a:sysClr val="windowText" lastClr="000000"/>
              </a:solidFill>
            </a:rPr>
            <a:t>DE DRW checking</a:t>
          </a:r>
          <a:endParaRPr lang="en-US" sz="105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84892</xdr:colOff>
      <xdr:row>43</xdr:row>
      <xdr:rowOff>118029</xdr:rowOff>
    </xdr:from>
    <xdr:to>
      <xdr:col>15</xdr:col>
      <xdr:colOff>126308</xdr:colOff>
      <xdr:row>51</xdr:row>
      <xdr:rowOff>133350</xdr:rowOff>
    </xdr:to>
    <xdr:sp macro="" textlink="">
      <xdr:nvSpPr>
        <xdr:cNvPr id="70" name="Pentagon 68">
          <a:extLst>
            <a:ext uri="{FF2B5EF4-FFF2-40B4-BE49-F238E27FC236}">
              <a16:creationId xmlns:a16="http://schemas.microsoft.com/office/drawing/2014/main" id="{963CE667-D0ED-490F-903B-8AF923B1FF7E}"/>
            </a:ext>
          </a:extLst>
        </xdr:cNvPr>
        <xdr:cNvSpPr/>
      </xdr:nvSpPr>
      <xdr:spPr>
        <a:xfrm>
          <a:off x="13038892" y="8719104"/>
          <a:ext cx="1870216" cy="1539321"/>
        </a:xfrm>
        <a:prstGeom prst="homePlate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 b="1" baseline="0">
              <a:solidFill>
                <a:sysClr val="windowText" lastClr="000000"/>
              </a:solidFill>
            </a:rPr>
            <a:t>DE problem feedback</a:t>
          </a:r>
          <a:endParaRPr lang="en-US" sz="1050" b="1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9</xdr:col>
      <xdr:colOff>0</xdr:colOff>
      <xdr:row>40</xdr:row>
      <xdr:rowOff>46127</xdr:rowOff>
    </xdr:from>
    <xdr:ext cx="1264962" cy="280205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ED21176D-784C-4EBE-B2E2-31AA3806FF5B}"/>
            </a:ext>
          </a:extLst>
        </xdr:cNvPr>
        <xdr:cNvSpPr txBox="1"/>
      </xdr:nvSpPr>
      <xdr:spPr>
        <a:xfrm>
          <a:off x="11122625" y="8075702"/>
          <a:ext cx="1264962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sz="1200" b="0" baseline="0">
              <a:solidFill>
                <a:srgbClr val="FF0000"/>
              </a:solidFill>
            </a:rPr>
            <a:t>PIC: Project team</a:t>
          </a:r>
          <a:endParaRPr lang="en-US" sz="1200" b="0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326202</xdr:colOff>
      <xdr:row>51</xdr:row>
      <xdr:rowOff>104105</xdr:rowOff>
    </xdr:from>
    <xdr:ext cx="1992277" cy="280205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88E52131-34EB-4420-8825-9CB50BF5847C}"/>
            </a:ext>
          </a:extLst>
        </xdr:cNvPr>
        <xdr:cNvSpPr txBox="1"/>
      </xdr:nvSpPr>
      <xdr:spPr>
        <a:xfrm>
          <a:off x="5355402" y="10229180"/>
          <a:ext cx="1992277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sz="1200" b="0" baseline="0">
              <a:solidFill>
                <a:srgbClr val="FF0000"/>
              </a:solidFill>
            </a:rPr>
            <a:t>Together with: ASSY/PQA/PE</a:t>
          </a:r>
          <a:endParaRPr lang="en-US" sz="1200" b="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93690</xdr:colOff>
      <xdr:row>8</xdr:row>
      <xdr:rowOff>40464</xdr:rowOff>
    </xdr:from>
    <xdr:to>
      <xdr:col>2</xdr:col>
      <xdr:colOff>1343024</xdr:colOff>
      <xdr:row>11</xdr:row>
      <xdr:rowOff>136072</xdr:rowOff>
    </xdr:to>
    <xdr:sp macro="" textlink="">
      <xdr:nvSpPr>
        <xdr:cNvPr id="73" name="Pentagon 71">
          <a:extLst>
            <a:ext uri="{FF2B5EF4-FFF2-40B4-BE49-F238E27FC236}">
              <a16:creationId xmlns:a16="http://schemas.microsoft.com/office/drawing/2014/main" id="{CEF0F2E5-DA0B-4367-93E5-681BC7557F98}"/>
            </a:ext>
          </a:extLst>
        </xdr:cNvPr>
        <xdr:cNvSpPr/>
      </xdr:nvSpPr>
      <xdr:spPr>
        <a:xfrm>
          <a:off x="583547" y="1836607"/>
          <a:ext cx="3086298" cy="667108"/>
        </a:xfrm>
        <a:prstGeom prst="homePlate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baseline="0">
              <a:solidFill>
                <a:sysClr val="windowText" lastClr="000000"/>
              </a:solidFill>
            </a:rPr>
            <a:t>Concept  system &amp;  target</a:t>
          </a:r>
        </a:p>
        <a:p>
          <a:pPr algn="ctr"/>
          <a:r>
            <a:rPr lang="en-US" sz="1200" b="1" baseline="0">
              <a:solidFill>
                <a:sysClr val="windowText" lastClr="000000"/>
              </a:solidFill>
            </a:rPr>
            <a:t>(...)</a:t>
          </a:r>
        </a:p>
      </xdr:txBody>
    </xdr:sp>
    <xdr:clientData/>
  </xdr:twoCellAnchor>
  <xdr:twoCellAnchor>
    <xdr:from>
      <xdr:col>6</xdr:col>
      <xdr:colOff>57151</xdr:colOff>
      <xdr:row>16</xdr:row>
      <xdr:rowOff>189483</xdr:rowOff>
    </xdr:from>
    <xdr:to>
      <xdr:col>7</xdr:col>
      <xdr:colOff>461597</xdr:colOff>
      <xdr:row>17</xdr:row>
      <xdr:rowOff>182441</xdr:rowOff>
    </xdr:to>
    <xdr:sp macro="" textlink="">
      <xdr:nvSpPr>
        <xdr:cNvPr id="74" name="Pentagon 72">
          <a:extLst>
            <a:ext uri="{FF2B5EF4-FFF2-40B4-BE49-F238E27FC236}">
              <a16:creationId xmlns:a16="http://schemas.microsoft.com/office/drawing/2014/main" id="{F8589B38-8729-4360-962C-906D8D898960}"/>
            </a:ext>
          </a:extLst>
        </xdr:cNvPr>
        <xdr:cNvSpPr/>
      </xdr:nvSpPr>
      <xdr:spPr>
        <a:xfrm>
          <a:off x="5695951" y="3551808"/>
          <a:ext cx="1014046" cy="183458"/>
        </a:xfrm>
        <a:prstGeom prst="homePlate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</a:rPr>
            <a:t>2nd</a:t>
          </a:r>
          <a:r>
            <a:rPr lang="en-US" sz="900" baseline="0">
              <a:solidFill>
                <a:sysClr val="windowText" lastClr="000000"/>
              </a:solidFill>
            </a:rPr>
            <a:t> </a:t>
          </a:r>
          <a:r>
            <a:rPr lang="en-US" sz="900">
              <a:solidFill>
                <a:sysClr val="windowText" lastClr="000000"/>
              </a:solidFill>
            </a:rPr>
            <a:t>Assy Flow </a:t>
          </a:r>
        </a:p>
      </xdr:txBody>
    </xdr:sp>
    <xdr:clientData/>
  </xdr:twoCellAnchor>
  <xdr:twoCellAnchor>
    <xdr:from>
      <xdr:col>6</xdr:col>
      <xdr:colOff>52204</xdr:colOff>
      <xdr:row>17</xdr:row>
      <xdr:rowOff>95252</xdr:rowOff>
    </xdr:from>
    <xdr:to>
      <xdr:col>6</xdr:col>
      <xdr:colOff>52204</xdr:colOff>
      <xdr:row>23</xdr:row>
      <xdr:rowOff>1</xdr:rowOff>
    </xdr:to>
    <xdr:cxnSp macro="">
      <xdr:nvCxnSpPr>
        <xdr:cNvPr id="75" name="Straight Connector 74">
          <a:extLst>
            <a:ext uri="{FF2B5EF4-FFF2-40B4-BE49-F238E27FC236}">
              <a16:creationId xmlns:a16="http://schemas.microsoft.com/office/drawing/2014/main" id="{6CF1746D-9433-433E-A6B2-1B246B921C2D}"/>
            </a:ext>
          </a:extLst>
        </xdr:cNvPr>
        <xdr:cNvCxnSpPr/>
      </xdr:nvCxnSpPr>
      <xdr:spPr>
        <a:xfrm>
          <a:off x="5691004" y="3648077"/>
          <a:ext cx="0" cy="1047749"/>
        </a:xfrm>
        <a:prstGeom prst="line">
          <a:avLst/>
        </a:prstGeom>
        <a:ln w="9525">
          <a:solidFill>
            <a:srgbClr val="0000FF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774105</xdr:colOff>
      <xdr:row>16</xdr:row>
      <xdr:rowOff>36951</xdr:rowOff>
    </xdr:from>
    <xdr:to>
      <xdr:col>3</xdr:col>
      <xdr:colOff>579208</xdr:colOff>
      <xdr:row>18</xdr:row>
      <xdr:rowOff>173934</xdr:rowOff>
    </xdr:to>
    <xdr:sp macro="" textlink="">
      <xdr:nvSpPr>
        <xdr:cNvPr id="76" name="Pentagon 74">
          <a:extLst>
            <a:ext uri="{FF2B5EF4-FFF2-40B4-BE49-F238E27FC236}">
              <a16:creationId xmlns:a16="http://schemas.microsoft.com/office/drawing/2014/main" id="{9D0E3F59-6F14-4DEC-A016-097A72D146CF}"/>
            </a:ext>
          </a:extLst>
        </xdr:cNvPr>
        <xdr:cNvSpPr/>
      </xdr:nvSpPr>
      <xdr:spPr>
        <a:xfrm>
          <a:off x="3098205" y="3399276"/>
          <a:ext cx="1291003" cy="517983"/>
        </a:xfrm>
        <a:prstGeom prst="homePlate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 b="1" baseline="0">
              <a:solidFill>
                <a:sysClr val="windowText" lastClr="000000"/>
              </a:solidFill>
            </a:rPr>
            <a:t>1. Simple project</a:t>
          </a:r>
          <a:endParaRPr 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789215</xdr:colOff>
      <xdr:row>20</xdr:row>
      <xdr:rowOff>33130</xdr:rowOff>
    </xdr:from>
    <xdr:to>
      <xdr:col>3</xdr:col>
      <xdr:colOff>574430</xdr:colOff>
      <xdr:row>22</xdr:row>
      <xdr:rowOff>182217</xdr:rowOff>
    </xdr:to>
    <xdr:sp macro="" textlink="">
      <xdr:nvSpPr>
        <xdr:cNvPr id="77" name="Pentagon 75">
          <a:extLst>
            <a:ext uri="{FF2B5EF4-FFF2-40B4-BE49-F238E27FC236}">
              <a16:creationId xmlns:a16="http://schemas.microsoft.com/office/drawing/2014/main" id="{E96C3FF2-EA1B-4717-B1A9-94A33C5AF1D4}"/>
            </a:ext>
          </a:extLst>
        </xdr:cNvPr>
        <xdr:cNvSpPr/>
      </xdr:nvSpPr>
      <xdr:spPr>
        <a:xfrm>
          <a:off x="3116036" y="4169701"/>
          <a:ext cx="1268394" cy="530087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 b="1" baseline="0">
              <a:solidFill>
                <a:sysClr val="windowText" lastClr="000000"/>
              </a:solidFill>
            </a:rPr>
            <a:t>2. Middle project</a:t>
          </a:r>
          <a:endParaRPr lang="en-US" sz="12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789215</xdr:colOff>
      <xdr:row>24</xdr:row>
      <xdr:rowOff>169473</xdr:rowOff>
    </xdr:from>
    <xdr:to>
      <xdr:col>3</xdr:col>
      <xdr:colOff>570608</xdr:colOff>
      <xdr:row>27</xdr:row>
      <xdr:rowOff>115957</xdr:rowOff>
    </xdr:to>
    <xdr:sp macro="" textlink="">
      <xdr:nvSpPr>
        <xdr:cNvPr id="78" name="Pentagon 76">
          <a:extLst>
            <a:ext uri="{FF2B5EF4-FFF2-40B4-BE49-F238E27FC236}">
              <a16:creationId xmlns:a16="http://schemas.microsoft.com/office/drawing/2014/main" id="{A6B321AA-365B-4F1E-911B-238CE352B6EE}"/>
            </a:ext>
          </a:extLst>
        </xdr:cNvPr>
        <xdr:cNvSpPr/>
      </xdr:nvSpPr>
      <xdr:spPr>
        <a:xfrm>
          <a:off x="3116036" y="5068044"/>
          <a:ext cx="1264572" cy="517984"/>
        </a:xfrm>
        <a:prstGeom prst="homePlat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 b="1">
              <a:solidFill>
                <a:sysClr val="windowText" lastClr="000000"/>
              </a:solidFill>
            </a:rPr>
            <a:t>3. Difficult project</a:t>
          </a:r>
        </a:p>
      </xdr:txBody>
    </xdr:sp>
    <xdr:clientData/>
  </xdr:twoCellAnchor>
  <xdr:oneCellAnchor>
    <xdr:from>
      <xdr:col>5</xdr:col>
      <xdr:colOff>565766</xdr:colOff>
      <xdr:row>17</xdr:row>
      <xdr:rowOff>133477</xdr:rowOff>
    </xdr:from>
    <xdr:ext cx="1324273" cy="374077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B06D38A3-AA1B-43E1-BD0D-4A0C08A9D6AC}"/>
            </a:ext>
          </a:extLst>
        </xdr:cNvPr>
        <xdr:cNvSpPr txBox="1"/>
      </xdr:nvSpPr>
      <xdr:spPr>
        <a:xfrm>
          <a:off x="5594966" y="3686302"/>
          <a:ext cx="1324273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/>
            <a:t>* Standard time balance</a:t>
          </a:r>
        </a:p>
        <a:p>
          <a:r>
            <a:rPr lang="en-US" sz="900"/>
            <a:t>*Packing/</a:t>
          </a:r>
          <a:r>
            <a:rPr lang="en-US" sz="900" baseline="0"/>
            <a:t> kitting</a:t>
          </a:r>
          <a:endParaRPr lang="en-US" sz="900"/>
        </a:p>
      </xdr:txBody>
    </xdr:sp>
    <xdr:clientData/>
  </xdr:oneCellAnchor>
  <xdr:twoCellAnchor>
    <xdr:from>
      <xdr:col>4</xdr:col>
      <xdr:colOff>10749</xdr:colOff>
      <xdr:row>25</xdr:row>
      <xdr:rowOff>81584</xdr:rowOff>
    </xdr:from>
    <xdr:to>
      <xdr:col>5</xdr:col>
      <xdr:colOff>457200</xdr:colOff>
      <xdr:row>26</xdr:row>
      <xdr:rowOff>119684</xdr:rowOff>
    </xdr:to>
    <xdr:sp macro="" textlink="">
      <xdr:nvSpPr>
        <xdr:cNvPr id="80" name="Pentagon 78">
          <a:extLst>
            <a:ext uri="{FF2B5EF4-FFF2-40B4-BE49-F238E27FC236}">
              <a16:creationId xmlns:a16="http://schemas.microsoft.com/office/drawing/2014/main" id="{9212341D-6A08-4FB8-8AA2-F7D7C5BBA8FA}"/>
            </a:ext>
          </a:extLst>
        </xdr:cNvPr>
        <xdr:cNvSpPr/>
      </xdr:nvSpPr>
      <xdr:spPr>
        <a:xfrm>
          <a:off x="4430349" y="5158409"/>
          <a:ext cx="1056051" cy="228600"/>
        </a:xfrm>
        <a:prstGeom prst="homePlat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>
              <a:solidFill>
                <a:sysClr val="windowText" lastClr="000000"/>
              </a:solidFill>
            </a:rPr>
            <a:t>Unit funciton</a:t>
          </a:r>
          <a:r>
            <a:rPr lang="en-US" sz="700" baseline="0">
              <a:solidFill>
                <a:sysClr val="windowText" lastClr="000000"/>
              </a:solidFill>
            </a:rPr>
            <a:t> analysis</a:t>
          </a:r>
          <a:endParaRPr lang="en-US" sz="7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515805</xdr:colOff>
      <xdr:row>23</xdr:row>
      <xdr:rowOff>26560</xdr:rowOff>
    </xdr:from>
    <xdr:to>
      <xdr:col>9</xdr:col>
      <xdr:colOff>0</xdr:colOff>
      <xdr:row>24</xdr:row>
      <xdr:rowOff>10767</xdr:rowOff>
    </xdr:to>
    <xdr:sp macro="" textlink="">
      <xdr:nvSpPr>
        <xdr:cNvPr id="81" name="Pentagon 79">
          <a:extLst>
            <a:ext uri="{FF2B5EF4-FFF2-40B4-BE49-F238E27FC236}">
              <a16:creationId xmlns:a16="http://schemas.microsoft.com/office/drawing/2014/main" id="{83044D8A-133F-45F8-AA62-F09149B1A222}"/>
            </a:ext>
          </a:extLst>
        </xdr:cNvPr>
        <xdr:cNvSpPr/>
      </xdr:nvSpPr>
      <xdr:spPr>
        <a:xfrm>
          <a:off x="6764205" y="4722385"/>
          <a:ext cx="1545192" cy="174707"/>
        </a:xfrm>
        <a:prstGeom prst="homePlate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600">
              <a:solidFill>
                <a:sysClr val="windowText" lastClr="000000"/>
              </a:solidFill>
            </a:rPr>
            <a:t>Checker</a:t>
          </a:r>
          <a:r>
            <a:rPr lang="en-US" sz="600" baseline="0">
              <a:solidFill>
                <a:sysClr val="windowText" lastClr="000000"/>
              </a:solidFill>
            </a:rPr>
            <a:t> </a:t>
          </a:r>
          <a:r>
            <a:rPr lang="en-US" sz="600">
              <a:solidFill>
                <a:sysClr val="windowText" lastClr="000000"/>
              </a:solidFill>
            </a:rPr>
            <a:t>ST calculation(PIA)</a:t>
          </a:r>
        </a:p>
      </xdr:txBody>
    </xdr:sp>
    <xdr:clientData/>
  </xdr:twoCellAnchor>
  <xdr:twoCellAnchor>
    <xdr:from>
      <xdr:col>7</xdr:col>
      <xdr:colOff>408642</xdr:colOff>
      <xdr:row>23</xdr:row>
      <xdr:rowOff>113914</xdr:rowOff>
    </xdr:from>
    <xdr:to>
      <xdr:col>7</xdr:col>
      <xdr:colOff>515805</xdr:colOff>
      <xdr:row>27</xdr:row>
      <xdr:rowOff>22651</xdr:rowOff>
    </xdr:to>
    <xdr:cxnSp macro="">
      <xdr:nvCxnSpPr>
        <xdr:cNvPr id="82" name="Straight Connector 81">
          <a:extLst>
            <a:ext uri="{FF2B5EF4-FFF2-40B4-BE49-F238E27FC236}">
              <a16:creationId xmlns:a16="http://schemas.microsoft.com/office/drawing/2014/main" id="{797FE718-C038-4E0D-AA45-798DAB3AAD81}"/>
            </a:ext>
          </a:extLst>
        </xdr:cNvPr>
        <xdr:cNvCxnSpPr>
          <a:stCxn id="81" idx="1"/>
        </xdr:cNvCxnSpPr>
      </xdr:nvCxnSpPr>
      <xdr:spPr>
        <a:xfrm flipH="1">
          <a:off x="6657042" y="4809739"/>
          <a:ext cx="107163" cy="670737"/>
        </a:xfrm>
        <a:prstGeom prst="line">
          <a:avLst/>
        </a:prstGeom>
        <a:ln w="9525">
          <a:solidFill>
            <a:srgbClr val="0000FF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400359</xdr:colOff>
      <xdr:row>19</xdr:row>
      <xdr:rowOff>167511</xdr:rowOff>
    </xdr:from>
    <xdr:to>
      <xdr:col>7</xdr:col>
      <xdr:colOff>400359</xdr:colOff>
      <xdr:row>22</xdr:row>
      <xdr:rowOff>85397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5193A11F-B002-437B-8446-D5AD2C121C04}"/>
            </a:ext>
          </a:extLst>
        </xdr:cNvPr>
        <xdr:cNvCxnSpPr/>
      </xdr:nvCxnSpPr>
      <xdr:spPr>
        <a:xfrm>
          <a:off x="6648759" y="4101336"/>
          <a:ext cx="0" cy="489386"/>
        </a:xfrm>
        <a:prstGeom prst="line">
          <a:avLst/>
        </a:prstGeom>
        <a:ln w="9525">
          <a:solidFill>
            <a:srgbClr val="0000FF"/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131522</xdr:colOff>
      <xdr:row>24</xdr:row>
      <xdr:rowOff>74531</xdr:rowOff>
    </xdr:from>
    <xdr:ext cx="519116" cy="233205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11E328E6-57A3-4C88-BE19-A95421F25CDA}"/>
            </a:ext>
          </a:extLst>
        </xdr:cNvPr>
        <xdr:cNvSpPr txBox="1"/>
      </xdr:nvSpPr>
      <xdr:spPr>
        <a:xfrm>
          <a:off x="4551122" y="4960856"/>
          <a:ext cx="51911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sz="900" b="0" baseline="0"/>
            <a:t>1 week</a:t>
          </a:r>
          <a:endParaRPr lang="en-US" sz="900" b="0"/>
        </a:p>
      </xdr:txBody>
    </xdr:sp>
    <xdr:clientData/>
  </xdr:oneCellAnchor>
  <xdr:oneCellAnchor>
    <xdr:from>
      <xdr:col>3</xdr:col>
      <xdr:colOff>587746</xdr:colOff>
      <xdr:row>17</xdr:row>
      <xdr:rowOff>155458</xdr:rowOff>
    </xdr:from>
    <xdr:ext cx="1302857" cy="37407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F22C0CCA-1252-44CE-AA9B-5D70E2D14F39}"/>
            </a:ext>
          </a:extLst>
        </xdr:cNvPr>
        <xdr:cNvSpPr txBox="1"/>
      </xdr:nvSpPr>
      <xdr:spPr>
        <a:xfrm>
          <a:off x="4397746" y="3708283"/>
          <a:ext cx="1302857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/>
            <a:t>* ST target </a:t>
          </a:r>
        </a:p>
        <a:p>
          <a:r>
            <a:rPr lang="en-US" sz="900"/>
            <a:t>* Base on</a:t>
          </a:r>
          <a:r>
            <a:rPr lang="en-US" sz="900" baseline="0"/>
            <a:t> PFi1 standard</a:t>
          </a:r>
          <a:endParaRPr lang="en-US" sz="900"/>
        </a:p>
      </xdr:txBody>
    </xdr:sp>
    <xdr:clientData/>
  </xdr:oneCellAnchor>
  <xdr:twoCellAnchor>
    <xdr:from>
      <xdr:col>0</xdr:col>
      <xdr:colOff>476248</xdr:colOff>
      <xdr:row>5</xdr:row>
      <xdr:rowOff>0</xdr:rowOff>
    </xdr:from>
    <xdr:to>
      <xdr:col>3</xdr:col>
      <xdr:colOff>1673679</xdr:colOff>
      <xdr:row>7</xdr:row>
      <xdr:rowOff>152400</xdr:rowOff>
    </xdr:to>
    <xdr:sp macro="" textlink="">
      <xdr:nvSpPr>
        <xdr:cNvPr id="88" name="Pentagon 86">
          <a:extLst>
            <a:ext uri="{FF2B5EF4-FFF2-40B4-BE49-F238E27FC236}">
              <a16:creationId xmlns:a16="http://schemas.microsoft.com/office/drawing/2014/main" id="{1B142118-D346-4B7F-9558-2035AF8BBB0B}"/>
            </a:ext>
          </a:extLst>
        </xdr:cNvPr>
        <xdr:cNvSpPr/>
      </xdr:nvSpPr>
      <xdr:spPr>
        <a:xfrm>
          <a:off x="476248" y="1224643"/>
          <a:ext cx="5116288" cy="533400"/>
        </a:xfrm>
        <a:prstGeom prst="homePlate">
          <a:avLst/>
        </a:prstGeom>
        <a:solidFill>
          <a:srgbClr val="E7F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>
              <a:solidFill>
                <a:sysClr val="windowText" lastClr="000000"/>
              </a:solidFill>
            </a:rPr>
            <a:t>Making flow</a:t>
          </a:r>
        </a:p>
      </xdr:txBody>
    </xdr:sp>
    <xdr:clientData/>
  </xdr:twoCellAnchor>
  <xdr:oneCellAnchor>
    <xdr:from>
      <xdr:col>6</xdr:col>
      <xdr:colOff>38100</xdr:colOff>
      <xdr:row>39</xdr:row>
      <xdr:rowOff>95250</xdr:rowOff>
    </xdr:from>
    <xdr:ext cx="1531317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D8C3BC01-C2F8-4645-9D18-F204949DAE2D}"/>
            </a:ext>
          </a:extLst>
        </xdr:cNvPr>
        <xdr:cNvSpPr txBox="1"/>
      </xdr:nvSpPr>
      <xdr:spPr>
        <a:xfrm>
          <a:off x="5676900" y="7886700"/>
          <a:ext cx="153131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try to input in DE</a:t>
          </a:r>
          <a:r>
            <a:rPr lang="en-US" sz="1100" baseline="0"/>
            <a:t> phase</a:t>
          </a:r>
          <a:endParaRPr lang="en-US" sz="1100"/>
        </a:p>
      </xdr:txBody>
    </xdr:sp>
    <xdr:clientData/>
  </xdr:oneCellAnchor>
  <xdr:twoCellAnchor>
    <xdr:from>
      <xdr:col>8</xdr:col>
      <xdr:colOff>395654</xdr:colOff>
      <xdr:row>29</xdr:row>
      <xdr:rowOff>82439</xdr:rowOff>
    </xdr:from>
    <xdr:to>
      <xdr:col>9</xdr:col>
      <xdr:colOff>0</xdr:colOff>
      <xdr:row>30</xdr:row>
      <xdr:rowOff>127290</xdr:rowOff>
    </xdr:to>
    <xdr:sp macro="" textlink="">
      <xdr:nvSpPr>
        <xdr:cNvPr id="91" name="Pentagon 89">
          <a:extLst>
            <a:ext uri="{FF2B5EF4-FFF2-40B4-BE49-F238E27FC236}">
              <a16:creationId xmlns:a16="http://schemas.microsoft.com/office/drawing/2014/main" id="{E62A754A-671C-4E82-9DF4-B511263C5175}"/>
            </a:ext>
          </a:extLst>
        </xdr:cNvPr>
        <xdr:cNvSpPr/>
      </xdr:nvSpPr>
      <xdr:spPr>
        <a:xfrm>
          <a:off x="7253654" y="5921264"/>
          <a:ext cx="1638300" cy="235351"/>
        </a:xfrm>
        <a:prstGeom prst="homePlat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>
              <a:solidFill>
                <a:sysClr val="windowText" lastClr="000000"/>
              </a:solidFill>
            </a:rPr>
            <a:t>Problem feedback</a:t>
          </a:r>
        </a:p>
      </xdr:txBody>
    </xdr:sp>
    <xdr:clientData/>
  </xdr:twoCellAnchor>
  <xdr:twoCellAnchor>
    <xdr:from>
      <xdr:col>8</xdr:col>
      <xdr:colOff>395654</xdr:colOff>
      <xdr:row>30</xdr:row>
      <xdr:rowOff>9615</xdr:rowOff>
    </xdr:from>
    <xdr:to>
      <xdr:col>9</xdr:col>
      <xdr:colOff>0</xdr:colOff>
      <xdr:row>43</xdr:row>
      <xdr:rowOff>128024</xdr:rowOff>
    </xdr:to>
    <xdr:cxnSp macro="">
      <xdr:nvCxnSpPr>
        <xdr:cNvPr id="92" name="Straight Connector 91">
          <a:extLst>
            <a:ext uri="{FF2B5EF4-FFF2-40B4-BE49-F238E27FC236}">
              <a16:creationId xmlns:a16="http://schemas.microsoft.com/office/drawing/2014/main" id="{2C34C980-2CD1-4F5E-91A9-790C5C4A66D6}"/>
            </a:ext>
          </a:extLst>
        </xdr:cNvPr>
        <xdr:cNvCxnSpPr>
          <a:stCxn id="91" idx="1"/>
        </xdr:cNvCxnSpPr>
      </xdr:nvCxnSpPr>
      <xdr:spPr>
        <a:xfrm>
          <a:off x="7253654" y="6038940"/>
          <a:ext cx="414704" cy="2690159"/>
        </a:xfrm>
        <a:prstGeom prst="line">
          <a:avLst/>
        </a:prstGeom>
        <a:ln w="9525">
          <a:solidFill>
            <a:srgbClr val="0000FF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668342</xdr:colOff>
      <xdr:row>31</xdr:row>
      <xdr:rowOff>19560</xdr:rowOff>
    </xdr:from>
    <xdr:to>
      <xdr:col>5</xdr:col>
      <xdr:colOff>190500</xdr:colOff>
      <xdr:row>34</xdr:row>
      <xdr:rowOff>16566</xdr:rowOff>
    </xdr:to>
    <xdr:sp macro="" textlink="">
      <xdr:nvSpPr>
        <xdr:cNvPr id="94" name="Pentagon 92">
          <a:extLst>
            <a:ext uri="{FF2B5EF4-FFF2-40B4-BE49-F238E27FC236}">
              <a16:creationId xmlns:a16="http://schemas.microsoft.com/office/drawing/2014/main" id="{4536ABDB-9A61-4732-A422-F8051A26B989}"/>
            </a:ext>
          </a:extLst>
        </xdr:cNvPr>
        <xdr:cNvSpPr/>
      </xdr:nvSpPr>
      <xdr:spPr>
        <a:xfrm>
          <a:off x="2992442" y="6239385"/>
          <a:ext cx="2227258" cy="568506"/>
        </a:xfrm>
        <a:prstGeom prst="homePlate">
          <a:avLst/>
        </a:prstGeom>
        <a:solidFill>
          <a:srgbClr val="FFF8E5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200" b="1">
              <a:solidFill>
                <a:sysClr val="windowText" lastClr="000000"/>
              </a:solidFill>
            </a:rPr>
            <a:t>4. Accuracy guaranted C-BOM</a:t>
          </a:r>
        </a:p>
      </xdr:txBody>
    </xdr:sp>
    <xdr:clientData/>
  </xdr:twoCellAnchor>
  <xdr:twoCellAnchor>
    <xdr:from>
      <xdr:col>5</xdr:col>
      <xdr:colOff>213213</xdr:colOff>
      <xdr:row>33</xdr:row>
      <xdr:rowOff>57150</xdr:rowOff>
    </xdr:from>
    <xdr:to>
      <xdr:col>8</xdr:col>
      <xdr:colOff>19050</xdr:colOff>
      <xdr:row>34</xdr:row>
      <xdr:rowOff>83527</xdr:rowOff>
    </xdr:to>
    <xdr:sp macro="" textlink="">
      <xdr:nvSpPr>
        <xdr:cNvPr id="95" name="Pentagon 93">
          <a:extLst>
            <a:ext uri="{FF2B5EF4-FFF2-40B4-BE49-F238E27FC236}">
              <a16:creationId xmlns:a16="http://schemas.microsoft.com/office/drawing/2014/main" id="{A67801AB-4AEA-4F2A-97CA-540785795A37}"/>
            </a:ext>
          </a:extLst>
        </xdr:cNvPr>
        <xdr:cNvSpPr/>
      </xdr:nvSpPr>
      <xdr:spPr>
        <a:xfrm>
          <a:off x="5242413" y="6657975"/>
          <a:ext cx="1634637" cy="216877"/>
        </a:xfrm>
        <a:prstGeom prst="homePlate">
          <a:avLst/>
        </a:prstGeom>
        <a:solidFill>
          <a:srgbClr val="FFF8E5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800" b="0" baseline="0">
              <a:solidFill>
                <a:sysClr val="windowText" lastClr="000000"/>
              </a:solidFill>
            </a:rPr>
            <a:t>Process/ Unit flow  list making </a:t>
          </a:r>
          <a:endParaRPr lang="en-US" sz="8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565638</xdr:colOff>
      <xdr:row>34</xdr:row>
      <xdr:rowOff>104775</xdr:rowOff>
    </xdr:from>
    <xdr:to>
      <xdr:col>9</xdr:col>
      <xdr:colOff>0</xdr:colOff>
      <xdr:row>35</xdr:row>
      <xdr:rowOff>131152</xdr:rowOff>
    </xdr:to>
    <xdr:sp macro="" textlink="">
      <xdr:nvSpPr>
        <xdr:cNvPr id="96" name="Pentagon 94">
          <a:extLst>
            <a:ext uri="{FF2B5EF4-FFF2-40B4-BE49-F238E27FC236}">
              <a16:creationId xmlns:a16="http://schemas.microsoft.com/office/drawing/2014/main" id="{6DA00FB0-95B9-4CE6-A542-55E930290C61}"/>
            </a:ext>
          </a:extLst>
        </xdr:cNvPr>
        <xdr:cNvSpPr/>
      </xdr:nvSpPr>
      <xdr:spPr>
        <a:xfrm>
          <a:off x="6814038" y="6896100"/>
          <a:ext cx="1482237" cy="216877"/>
        </a:xfrm>
        <a:prstGeom prst="homePlate">
          <a:avLst/>
        </a:prstGeom>
        <a:solidFill>
          <a:srgbClr val="FFF8E5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800" b="0">
              <a:solidFill>
                <a:sysClr val="windowText" lastClr="000000"/>
              </a:solidFill>
            </a:rPr>
            <a:t>DC DRW/</a:t>
          </a:r>
          <a:r>
            <a:rPr lang="en-US" sz="800" b="0" baseline="0">
              <a:solidFill>
                <a:sysClr val="windowText" lastClr="000000"/>
              </a:solidFill>
            </a:rPr>
            <a:t> Unit flow </a:t>
          </a:r>
          <a:r>
            <a:rPr lang="en-US" sz="800" b="0">
              <a:solidFill>
                <a:sysClr val="windowText" lastClr="000000"/>
              </a:solidFill>
            </a:rPr>
            <a:t>analysis</a:t>
          </a:r>
          <a:r>
            <a:rPr lang="en-US" sz="800" b="0" baseline="0">
              <a:solidFill>
                <a:sysClr val="windowText" lastClr="000000"/>
              </a:solidFill>
            </a:rPr>
            <a:t> </a:t>
          </a:r>
          <a:endParaRPr lang="en-US" sz="8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270363</xdr:colOff>
      <xdr:row>34</xdr:row>
      <xdr:rowOff>180975</xdr:rowOff>
    </xdr:from>
    <xdr:to>
      <xdr:col>11</xdr:col>
      <xdr:colOff>533400</xdr:colOff>
      <xdr:row>36</xdr:row>
      <xdr:rowOff>16852</xdr:rowOff>
    </xdr:to>
    <xdr:sp macro="" textlink="">
      <xdr:nvSpPr>
        <xdr:cNvPr id="97" name="Pentagon 95">
          <a:extLst>
            <a:ext uri="{FF2B5EF4-FFF2-40B4-BE49-F238E27FC236}">
              <a16:creationId xmlns:a16="http://schemas.microsoft.com/office/drawing/2014/main" id="{5730C436-E9AA-4E11-AF62-503129960986}"/>
            </a:ext>
          </a:extLst>
        </xdr:cNvPr>
        <xdr:cNvSpPr/>
      </xdr:nvSpPr>
      <xdr:spPr>
        <a:xfrm>
          <a:off x="11395563" y="6972300"/>
          <a:ext cx="1482237" cy="216877"/>
        </a:xfrm>
        <a:prstGeom prst="homePlate">
          <a:avLst/>
        </a:prstGeom>
        <a:solidFill>
          <a:srgbClr val="FFF8E5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800" b="0">
              <a:solidFill>
                <a:sysClr val="windowText" lastClr="000000"/>
              </a:solidFill>
            </a:rPr>
            <a:t>DE DRW/</a:t>
          </a:r>
          <a:r>
            <a:rPr lang="en-US" sz="800" b="0" baseline="0">
              <a:solidFill>
                <a:sysClr val="windowText" lastClr="000000"/>
              </a:solidFill>
            </a:rPr>
            <a:t> Unit flow </a:t>
          </a:r>
          <a:r>
            <a:rPr lang="en-US" sz="800" b="0">
              <a:solidFill>
                <a:sysClr val="windowText" lastClr="000000"/>
              </a:solidFill>
            </a:rPr>
            <a:t>analysis</a:t>
          </a:r>
          <a:r>
            <a:rPr lang="en-US" sz="800" b="0" baseline="0">
              <a:solidFill>
                <a:sysClr val="windowText" lastClr="000000"/>
              </a:solidFill>
            </a:rPr>
            <a:t> </a:t>
          </a:r>
          <a:endParaRPr lang="en-US" sz="8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0</xdr:colOff>
      <xdr:row>33</xdr:row>
      <xdr:rowOff>104775</xdr:rowOff>
    </xdr:from>
    <xdr:to>
      <xdr:col>10</xdr:col>
      <xdr:colOff>190500</xdr:colOff>
      <xdr:row>34</xdr:row>
      <xdr:rowOff>131152</xdr:rowOff>
    </xdr:to>
    <xdr:sp macro="" textlink="">
      <xdr:nvSpPr>
        <xdr:cNvPr id="99" name="Pentagon 97">
          <a:extLst>
            <a:ext uri="{FF2B5EF4-FFF2-40B4-BE49-F238E27FC236}">
              <a16:creationId xmlns:a16="http://schemas.microsoft.com/office/drawing/2014/main" id="{8CA6736B-4A47-4150-89B1-C15B42F92AE9}"/>
            </a:ext>
          </a:extLst>
        </xdr:cNvPr>
        <xdr:cNvSpPr/>
      </xdr:nvSpPr>
      <xdr:spPr>
        <a:xfrm>
          <a:off x="10443063" y="6705600"/>
          <a:ext cx="1482237" cy="216877"/>
        </a:xfrm>
        <a:prstGeom prst="homePlate">
          <a:avLst/>
        </a:prstGeom>
        <a:solidFill>
          <a:srgbClr val="FFF8E5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800" b="0">
              <a:solidFill>
                <a:sysClr val="windowText" lastClr="000000"/>
              </a:solidFill>
            </a:rPr>
            <a:t>Proces</a:t>
          </a:r>
          <a:r>
            <a:rPr lang="en-US" sz="800" b="0" baseline="0">
              <a:solidFill>
                <a:sysClr val="windowText" lastClr="000000"/>
              </a:solidFill>
            </a:rPr>
            <a:t> flow update</a:t>
          </a:r>
          <a:endParaRPr lang="en-US" sz="8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346563</xdr:colOff>
      <xdr:row>36</xdr:row>
      <xdr:rowOff>66675</xdr:rowOff>
    </xdr:from>
    <xdr:to>
      <xdr:col>14</xdr:col>
      <xdr:colOff>0</xdr:colOff>
      <xdr:row>37</xdr:row>
      <xdr:rowOff>152400</xdr:rowOff>
    </xdr:to>
    <xdr:sp macro="" textlink="">
      <xdr:nvSpPr>
        <xdr:cNvPr id="101" name="Pentagon 99">
          <a:extLst>
            <a:ext uri="{FF2B5EF4-FFF2-40B4-BE49-F238E27FC236}">
              <a16:creationId xmlns:a16="http://schemas.microsoft.com/office/drawing/2014/main" id="{7DB7311B-EB8A-426F-A969-65044AE6A812}"/>
            </a:ext>
          </a:extLst>
        </xdr:cNvPr>
        <xdr:cNvSpPr/>
      </xdr:nvSpPr>
      <xdr:spPr>
        <a:xfrm>
          <a:off x="12690963" y="7239000"/>
          <a:ext cx="1482237" cy="276225"/>
        </a:xfrm>
        <a:prstGeom prst="homePlate">
          <a:avLst/>
        </a:prstGeom>
        <a:solidFill>
          <a:srgbClr val="FFF8E5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800" b="0">
              <a:solidFill>
                <a:sysClr val="windowText" lastClr="000000"/>
              </a:solidFill>
            </a:rPr>
            <a:t>Guarantee</a:t>
          </a:r>
          <a:r>
            <a:rPr lang="en-US" sz="800" b="0" baseline="0">
              <a:solidFill>
                <a:sysClr val="windowText" lastClr="000000"/>
              </a:solidFill>
            </a:rPr>
            <a:t> point summarize </a:t>
          </a:r>
          <a:endParaRPr lang="en-US" sz="800" b="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7</xdr:col>
      <xdr:colOff>565766</xdr:colOff>
      <xdr:row>17</xdr:row>
      <xdr:rowOff>158325</xdr:rowOff>
    </xdr:from>
    <xdr:ext cx="502895" cy="233205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AD8BFDD9-CAF9-403F-B7F5-2DB45FCEB7E3}"/>
            </a:ext>
          </a:extLst>
        </xdr:cNvPr>
        <xdr:cNvSpPr txBox="1"/>
      </xdr:nvSpPr>
      <xdr:spPr>
        <a:xfrm>
          <a:off x="6814166" y="3711150"/>
          <a:ext cx="502895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900"/>
            <a:t>1st ver</a:t>
          </a:r>
        </a:p>
      </xdr:txBody>
    </xdr:sp>
    <xdr:clientData/>
  </xdr:oneCellAnchor>
  <xdr:oneCellAnchor>
    <xdr:from>
      <xdr:col>7</xdr:col>
      <xdr:colOff>317074</xdr:colOff>
      <xdr:row>27</xdr:row>
      <xdr:rowOff>8951</xdr:rowOff>
    </xdr:from>
    <xdr:ext cx="481927" cy="217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9B33A2B6-2787-4726-8973-594363657040}"/>
            </a:ext>
          </a:extLst>
        </xdr:cNvPr>
        <xdr:cNvSpPr txBox="1"/>
      </xdr:nvSpPr>
      <xdr:spPr>
        <a:xfrm>
          <a:off x="6565474" y="5466776"/>
          <a:ext cx="481927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sz="800" b="0" baseline="0"/>
            <a:t>3 week</a:t>
          </a:r>
          <a:endParaRPr lang="en-US" sz="800" b="0"/>
        </a:p>
      </xdr:txBody>
    </xdr:sp>
    <xdr:clientData/>
  </xdr:oneCellAnchor>
  <xdr:twoCellAnchor>
    <xdr:from>
      <xdr:col>3</xdr:col>
      <xdr:colOff>605869</xdr:colOff>
      <xdr:row>46</xdr:row>
      <xdr:rowOff>133769</xdr:rowOff>
    </xdr:from>
    <xdr:to>
      <xdr:col>6</xdr:col>
      <xdr:colOff>596348</xdr:colOff>
      <xdr:row>47</xdr:row>
      <xdr:rowOff>140804</xdr:rowOff>
    </xdr:to>
    <xdr:sp macro="" textlink="">
      <xdr:nvSpPr>
        <xdr:cNvPr id="106" name="Pentagon 104">
          <a:extLst>
            <a:ext uri="{FF2B5EF4-FFF2-40B4-BE49-F238E27FC236}">
              <a16:creationId xmlns:a16="http://schemas.microsoft.com/office/drawing/2014/main" id="{69B0E60E-2CC2-42E6-8697-9F3BCAF059CD}"/>
            </a:ext>
          </a:extLst>
        </xdr:cNvPr>
        <xdr:cNvSpPr/>
      </xdr:nvSpPr>
      <xdr:spPr>
        <a:xfrm>
          <a:off x="4415869" y="9306344"/>
          <a:ext cx="1819279" cy="197535"/>
        </a:xfrm>
        <a:prstGeom prst="homePlat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aseline="0">
              <a:solidFill>
                <a:sysClr val="windowText" lastClr="000000"/>
              </a:solidFill>
            </a:rPr>
            <a:t>Auto/ MIP support analysis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0</xdr:colOff>
      <xdr:row>43</xdr:row>
      <xdr:rowOff>181807</xdr:rowOff>
    </xdr:from>
    <xdr:to>
      <xdr:col>12</xdr:col>
      <xdr:colOff>47624</xdr:colOff>
      <xdr:row>47</xdr:row>
      <xdr:rowOff>38100</xdr:rowOff>
    </xdr:to>
    <xdr:sp macro="" textlink="">
      <xdr:nvSpPr>
        <xdr:cNvPr id="109" name="Pentagon 107">
          <a:extLst>
            <a:ext uri="{FF2B5EF4-FFF2-40B4-BE49-F238E27FC236}">
              <a16:creationId xmlns:a16="http://schemas.microsoft.com/office/drawing/2014/main" id="{B6356B84-00D7-4F2A-B70B-3B1962EC566F}"/>
            </a:ext>
          </a:extLst>
        </xdr:cNvPr>
        <xdr:cNvSpPr/>
      </xdr:nvSpPr>
      <xdr:spPr>
        <a:xfrm>
          <a:off x="11104903" y="8782882"/>
          <a:ext cx="1896721" cy="618293"/>
        </a:xfrm>
        <a:prstGeom prst="homePlat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</a:rPr>
            <a:t>Confirm all DC problem feedback are</a:t>
          </a:r>
          <a:r>
            <a:rPr lang="en-US" sz="1000" baseline="0">
              <a:solidFill>
                <a:sysClr val="windowText" lastClr="000000"/>
              </a:solidFill>
            </a:rPr>
            <a:t> changed in DE or not?</a:t>
          </a:r>
          <a:endParaRPr lang="en-US" sz="1000">
            <a:solidFill>
              <a:sysClr val="windowText" lastClr="000000"/>
            </a:solidFill>
          </a:endParaRPr>
        </a:p>
        <a:p>
          <a:pPr algn="ctr"/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0</xdr:colOff>
      <xdr:row>47</xdr:row>
      <xdr:rowOff>162757</xdr:rowOff>
    </xdr:from>
    <xdr:to>
      <xdr:col>12</xdr:col>
      <xdr:colOff>57149</xdr:colOff>
      <xdr:row>51</xdr:row>
      <xdr:rowOff>19050</xdr:rowOff>
    </xdr:to>
    <xdr:sp macro="" textlink="">
      <xdr:nvSpPr>
        <xdr:cNvPr id="110" name="Pentagon 108">
          <a:extLst>
            <a:ext uri="{FF2B5EF4-FFF2-40B4-BE49-F238E27FC236}">
              <a16:creationId xmlns:a16="http://schemas.microsoft.com/office/drawing/2014/main" id="{5115D575-8D7A-437A-89B6-E687AD70D265}"/>
            </a:ext>
          </a:extLst>
        </xdr:cNvPr>
        <xdr:cNvSpPr/>
      </xdr:nvSpPr>
      <xdr:spPr>
        <a:xfrm>
          <a:off x="11114428" y="9525832"/>
          <a:ext cx="1896721" cy="618293"/>
        </a:xfrm>
        <a:prstGeom prst="homePlat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</a:rPr>
            <a:t>new DE</a:t>
          </a:r>
          <a:r>
            <a:rPr lang="en-US" sz="1000" baseline="0">
              <a:solidFill>
                <a:sysClr val="windowText" lastClr="000000"/>
              </a:solidFill>
            </a:rPr>
            <a:t>  problem study</a:t>
          </a:r>
          <a:endParaRPr lang="en-US" sz="10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0</xdr:colOff>
      <xdr:row>56</xdr:row>
      <xdr:rowOff>5314</xdr:rowOff>
    </xdr:from>
    <xdr:to>
      <xdr:col>10</xdr:col>
      <xdr:colOff>156882</xdr:colOff>
      <xdr:row>59</xdr:row>
      <xdr:rowOff>52107</xdr:rowOff>
    </xdr:to>
    <xdr:sp macro="" textlink="">
      <xdr:nvSpPr>
        <xdr:cNvPr id="111" name="Pentagon 109">
          <a:extLst>
            <a:ext uri="{FF2B5EF4-FFF2-40B4-BE49-F238E27FC236}">
              <a16:creationId xmlns:a16="http://schemas.microsoft.com/office/drawing/2014/main" id="{E4095175-D558-440C-804F-18618A1CDE73}"/>
            </a:ext>
          </a:extLst>
        </xdr:cNvPr>
        <xdr:cNvSpPr/>
      </xdr:nvSpPr>
      <xdr:spPr>
        <a:xfrm>
          <a:off x="9994961" y="11130514"/>
          <a:ext cx="1896721" cy="618293"/>
        </a:xfrm>
        <a:prstGeom prst="homePlat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>
              <a:solidFill>
                <a:sysClr val="windowText" lastClr="000000"/>
              </a:solidFill>
            </a:rPr>
            <a:t>PIA and PUR :</a:t>
          </a:r>
        </a:p>
        <a:p>
          <a:pPr algn="ctr"/>
          <a:r>
            <a:rPr lang="en-US" sz="1000">
              <a:solidFill>
                <a:sysClr val="windowText" lastClr="000000"/>
              </a:solidFill>
            </a:rPr>
            <a:t>Maker survey</a:t>
          </a:r>
        </a:p>
      </xdr:txBody>
    </xdr:sp>
    <xdr:clientData/>
  </xdr:twoCellAnchor>
  <xdr:twoCellAnchor>
    <xdr:from>
      <xdr:col>0</xdr:col>
      <xdr:colOff>466725</xdr:colOff>
      <xdr:row>53</xdr:row>
      <xdr:rowOff>19050</xdr:rowOff>
    </xdr:from>
    <xdr:to>
      <xdr:col>16</xdr:col>
      <xdr:colOff>76200</xdr:colOff>
      <xdr:row>53</xdr:row>
      <xdr:rowOff>19050</xdr:rowOff>
    </xdr:to>
    <xdr:cxnSp macro="">
      <xdr:nvCxnSpPr>
        <xdr:cNvPr id="112" name="Straight Connector 111">
          <a:extLst>
            <a:ext uri="{FF2B5EF4-FFF2-40B4-BE49-F238E27FC236}">
              <a16:creationId xmlns:a16="http://schemas.microsoft.com/office/drawing/2014/main" id="{E8FF3659-A4BE-4647-A9A9-3FF61DCC8678}"/>
            </a:ext>
          </a:extLst>
        </xdr:cNvPr>
        <xdr:cNvCxnSpPr/>
      </xdr:nvCxnSpPr>
      <xdr:spPr>
        <a:xfrm>
          <a:off x="466725" y="10525125"/>
          <a:ext cx="15001875" cy="0"/>
        </a:xfrm>
        <a:prstGeom prst="line">
          <a:avLst/>
        </a:prstGeom>
        <a:ln w="28575"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447675</xdr:colOff>
      <xdr:row>38</xdr:row>
      <xdr:rowOff>0</xdr:rowOff>
    </xdr:from>
    <xdr:to>
      <xdr:col>16</xdr:col>
      <xdr:colOff>57150</xdr:colOff>
      <xdr:row>38</xdr:row>
      <xdr:rowOff>0</xdr:rowOff>
    </xdr:to>
    <xdr:cxnSp macro="">
      <xdr:nvCxnSpPr>
        <xdr:cNvPr id="113" name="Straight Connector 112">
          <a:extLst>
            <a:ext uri="{FF2B5EF4-FFF2-40B4-BE49-F238E27FC236}">
              <a16:creationId xmlns:a16="http://schemas.microsoft.com/office/drawing/2014/main" id="{09A366CE-CC85-4573-9697-1695058DF94A}"/>
            </a:ext>
          </a:extLst>
        </xdr:cNvPr>
        <xdr:cNvCxnSpPr/>
      </xdr:nvCxnSpPr>
      <xdr:spPr>
        <a:xfrm>
          <a:off x="447675" y="7553325"/>
          <a:ext cx="15001875" cy="0"/>
        </a:xfrm>
        <a:prstGeom prst="line">
          <a:avLst/>
        </a:prstGeom>
        <a:ln w="28575"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433108</xdr:colOff>
      <xdr:row>61</xdr:row>
      <xdr:rowOff>86286</xdr:rowOff>
    </xdr:from>
    <xdr:to>
      <xdr:col>16</xdr:col>
      <xdr:colOff>42583</xdr:colOff>
      <xdr:row>61</xdr:row>
      <xdr:rowOff>86286</xdr:rowOff>
    </xdr:to>
    <xdr:cxnSp macro="">
      <xdr:nvCxnSpPr>
        <xdr:cNvPr id="114" name="Straight Connector 113">
          <a:extLst>
            <a:ext uri="{FF2B5EF4-FFF2-40B4-BE49-F238E27FC236}">
              <a16:creationId xmlns:a16="http://schemas.microsoft.com/office/drawing/2014/main" id="{409BE561-437C-470B-8043-FB900AA8CF2E}"/>
            </a:ext>
          </a:extLst>
        </xdr:cNvPr>
        <xdr:cNvCxnSpPr/>
      </xdr:nvCxnSpPr>
      <xdr:spPr>
        <a:xfrm>
          <a:off x="433108" y="12163986"/>
          <a:ext cx="15001875" cy="0"/>
        </a:xfrm>
        <a:prstGeom prst="line">
          <a:avLst/>
        </a:prstGeom>
        <a:ln w="28575"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89647</xdr:colOff>
      <xdr:row>63</xdr:row>
      <xdr:rowOff>0</xdr:rowOff>
    </xdr:from>
    <xdr:to>
      <xdr:col>8</xdr:col>
      <xdr:colOff>563810</xdr:colOff>
      <xdr:row>64</xdr:row>
      <xdr:rowOff>2927</xdr:rowOff>
    </xdr:to>
    <xdr:sp macro="" textlink="">
      <xdr:nvSpPr>
        <xdr:cNvPr id="115" name="Pentagon 113">
          <a:extLst>
            <a:ext uri="{FF2B5EF4-FFF2-40B4-BE49-F238E27FC236}">
              <a16:creationId xmlns:a16="http://schemas.microsoft.com/office/drawing/2014/main" id="{6934CBB5-D9C2-482C-8524-E1087F03BADB}"/>
            </a:ext>
          </a:extLst>
        </xdr:cNvPr>
        <xdr:cNvSpPr/>
      </xdr:nvSpPr>
      <xdr:spPr>
        <a:xfrm>
          <a:off x="5118847" y="12458700"/>
          <a:ext cx="2302963" cy="193427"/>
        </a:xfrm>
        <a:prstGeom prst="homePlate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HNS/FFC layoyt</a:t>
          </a:r>
          <a:r>
            <a:rPr lang="en-US" sz="800" baseline="0">
              <a:solidFill>
                <a:sysClr val="windowText" lastClr="000000"/>
              </a:solidFill>
            </a:rPr>
            <a:t> checing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73041</xdr:colOff>
      <xdr:row>64</xdr:row>
      <xdr:rowOff>40945</xdr:rowOff>
    </xdr:from>
    <xdr:to>
      <xdr:col>9</xdr:col>
      <xdr:colOff>0</xdr:colOff>
      <xdr:row>65</xdr:row>
      <xdr:rowOff>29308</xdr:rowOff>
    </xdr:to>
    <xdr:sp macro="" textlink="">
      <xdr:nvSpPr>
        <xdr:cNvPr id="116" name="Pentagon 114">
          <a:extLst>
            <a:ext uri="{FF2B5EF4-FFF2-40B4-BE49-F238E27FC236}">
              <a16:creationId xmlns:a16="http://schemas.microsoft.com/office/drawing/2014/main" id="{F00B0BF1-3E48-4C4C-9AB3-2A7FEA56DCC8}"/>
            </a:ext>
          </a:extLst>
        </xdr:cNvPr>
        <xdr:cNvSpPr/>
      </xdr:nvSpPr>
      <xdr:spPr>
        <a:xfrm>
          <a:off x="6321441" y="12690145"/>
          <a:ext cx="1880317" cy="178863"/>
        </a:xfrm>
        <a:prstGeom prst="homePlate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Design change request</a:t>
          </a:r>
          <a:r>
            <a:rPr lang="en-US" sz="800" baseline="0">
              <a:solidFill>
                <a:sysClr val="windowText" lastClr="000000"/>
              </a:solidFill>
            </a:rPr>
            <a:t> for layout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542394</xdr:colOff>
      <xdr:row>64</xdr:row>
      <xdr:rowOff>183604</xdr:rowOff>
    </xdr:from>
    <xdr:to>
      <xdr:col>16</xdr:col>
      <xdr:colOff>409014</xdr:colOff>
      <xdr:row>65</xdr:row>
      <xdr:rowOff>152913</xdr:rowOff>
    </xdr:to>
    <xdr:sp macro="" textlink="">
      <xdr:nvSpPr>
        <xdr:cNvPr id="117" name="Pentagon 115">
          <a:extLst>
            <a:ext uri="{FF2B5EF4-FFF2-40B4-BE49-F238E27FC236}">
              <a16:creationId xmlns:a16="http://schemas.microsoft.com/office/drawing/2014/main" id="{86450237-6A92-4479-A61C-D32A82A4E8FE}"/>
            </a:ext>
          </a:extLst>
        </xdr:cNvPr>
        <xdr:cNvSpPr/>
      </xdr:nvSpPr>
      <xdr:spPr>
        <a:xfrm>
          <a:off x="12886794" y="12832804"/>
          <a:ext cx="2914620" cy="159809"/>
        </a:xfrm>
        <a:prstGeom prst="homePlate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Temp</a:t>
          </a:r>
          <a:r>
            <a:rPr lang="en-US" sz="800" baseline="0">
              <a:solidFill>
                <a:sysClr val="windowText" lastClr="000000"/>
              </a:solidFill>
            </a:rPr>
            <a:t> layout idea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550152</xdr:colOff>
      <xdr:row>66</xdr:row>
      <xdr:rowOff>4310</xdr:rowOff>
    </xdr:from>
    <xdr:to>
      <xdr:col>16</xdr:col>
      <xdr:colOff>416772</xdr:colOff>
      <xdr:row>66</xdr:row>
      <xdr:rowOff>164119</xdr:rowOff>
    </xdr:to>
    <xdr:sp macro="" textlink="">
      <xdr:nvSpPr>
        <xdr:cNvPr id="118" name="Pentagon 116">
          <a:extLst>
            <a:ext uri="{FF2B5EF4-FFF2-40B4-BE49-F238E27FC236}">
              <a16:creationId xmlns:a16="http://schemas.microsoft.com/office/drawing/2014/main" id="{F25583E7-06C7-434B-814C-48B817AC6136}"/>
            </a:ext>
          </a:extLst>
        </xdr:cNvPr>
        <xdr:cNvSpPr/>
      </xdr:nvSpPr>
      <xdr:spPr>
        <a:xfrm>
          <a:off x="12894552" y="13034510"/>
          <a:ext cx="2914620" cy="159809"/>
        </a:xfrm>
        <a:prstGeom prst="homePlate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Temp</a:t>
          </a:r>
          <a:r>
            <a:rPr lang="en-US" sz="800" baseline="0">
              <a:solidFill>
                <a:sysClr val="windowText" lastClr="000000"/>
              </a:solidFill>
            </a:rPr>
            <a:t> layout for transportation</a:t>
          </a:r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11</xdr:col>
      <xdr:colOff>590267</xdr:colOff>
      <xdr:row>63</xdr:row>
      <xdr:rowOff>90406</xdr:rowOff>
    </xdr:from>
    <xdr:ext cx="1629164" cy="280205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3651BF9A-8871-4346-A5A7-29D26552EF8C}"/>
            </a:ext>
          </a:extLst>
        </xdr:cNvPr>
        <xdr:cNvSpPr txBox="1"/>
      </xdr:nvSpPr>
      <xdr:spPr>
        <a:xfrm>
          <a:off x="12934667" y="12549106"/>
          <a:ext cx="1629164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sz="1200" b="0" baseline="0">
              <a:solidFill>
                <a:srgbClr val="FF0000"/>
              </a:solidFill>
            </a:rPr>
            <a:t>Actual DE machine ETA</a:t>
          </a:r>
          <a:endParaRPr lang="en-US" sz="1200" b="0">
            <a:solidFill>
              <a:srgbClr val="FF0000"/>
            </a:solidFill>
          </a:endParaRPr>
        </a:p>
      </xdr:txBody>
    </xdr:sp>
    <xdr:clientData/>
  </xdr:oneCellAnchor>
  <xdr:twoCellAnchor>
    <xdr:from>
      <xdr:col>11</xdr:col>
      <xdr:colOff>468922</xdr:colOff>
      <xdr:row>64</xdr:row>
      <xdr:rowOff>21980</xdr:rowOff>
    </xdr:from>
    <xdr:to>
      <xdr:col>12</xdr:col>
      <xdr:colOff>21629</xdr:colOff>
      <xdr:row>64</xdr:row>
      <xdr:rowOff>143573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D53C6731-AD91-4094-83C6-9D6B8CEA4BDE}"/>
            </a:ext>
          </a:extLst>
        </xdr:cNvPr>
        <xdr:cNvSpPr/>
      </xdr:nvSpPr>
      <xdr:spPr>
        <a:xfrm rot="10800000">
          <a:off x="12813322" y="12671180"/>
          <a:ext cx="162307" cy="121593"/>
        </a:xfrm>
        <a:prstGeom prst="triangle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5</xdr:col>
      <xdr:colOff>526368</xdr:colOff>
      <xdr:row>32</xdr:row>
      <xdr:rowOff>10295</xdr:rowOff>
    </xdr:from>
    <xdr:ext cx="527260" cy="248851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53C364EA-8A09-4314-B3ED-5374920F2C24}"/>
            </a:ext>
          </a:extLst>
        </xdr:cNvPr>
        <xdr:cNvSpPr txBox="1"/>
      </xdr:nvSpPr>
      <xdr:spPr>
        <a:xfrm>
          <a:off x="5555568" y="6420620"/>
          <a:ext cx="527260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sz="1000" b="0"/>
            <a:t>2week</a:t>
          </a:r>
        </a:p>
      </xdr:txBody>
    </xdr:sp>
    <xdr:clientData/>
  </xdr:oneCellAnchor>
  <xdr:oneCellAnchor>
    <xdr:from>
      <xdr:col>8</xdr:col>
      <xdr:colOff>35464</xdr:colOff>
      <xdr:row>33</xdr:row>
      <xdr:rowOff>83564</xdr:rowOff>
    </xdr:from>
    <xdr:ext cx="527260" cy="248851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054D7181-3D28-4FC6-A1D4-042E77CE3B57}"/>
            </a:ext>
          </a:extLst>
        </xdr:cNvPr>
        <xdr:cNvSpPr txBox="1"/>
      </xdr:nvSpPr>
      <xdr:spPr>
        <a:xfrm>
          <a:off x="6893464" y="6684389"/>
          <a:ext cx="527260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sz="1000" b="0"/>
            <a:t>1week</a:t>
          </a:r>
        </a:p>
      </xdr:txBody>
    </xdr:sp>
    <xdr:clientData/>
  </xdr:oneCellAnchor>
  <xdr:oneCellAnchor>
    <xdr:from>
      <xdr:col>6</xdr:col>
      <xdr:colOff>43961</xdr:colOff>
      <xdr:row>61</xdr:row>
      <xdr:rowOff>161193</xdr:rowOff>
    </xdr:from>
    <xdr:ext cx="527260" cy="248851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A8FC3A55-7ACA-4077-B47C-B759CB94168A}"/>
            </a:ext>
          </a:extLst>
        </xdr:cNvPr>
        <xdr:cNvSpPr txBox="1"/>
      </xdr:nvSpPr>
      <xdr:spPr>
        <a:xfrm>
          <a:off x="5682761" y="12238893"/>
          <a:ext cx="527260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sz="1000" b="0"/>
            <a:t>3week</a:t>
          </a:r>
        </a:p>
      </xdr:txBody>
    </xdr:sp>
    <xdr:clientData/>
  </xdr:oneCellAnchor>
  <xdr:twoCellAnchor>
    <xdr:from>
      <xdr:col>9</xdr:col>
      <xdr:colOff>0</xdr:colOff>
      <xdr:row>65</xdr:row>
      <xdr:rowOff>9525</xdr:rowOff>
    </xdr:from>
    <xdr:to>
      <xdr:col>10</xdr:col>
      <xdr:colOff>447675</xdr:colOff>
      <xdr:row>65</xdr:row>
      <xdr:rowOff>9525</xdr:rowOff>
    </xdr:to>
    <xdr:cxnSp macro="">
      <xdr:nvCxnSpPr>
        <xdr:cNvPr id="124" name="Straight Connector 123">
          <a:extLst>
            <a:ext uri="{FF2B5EF4-FFF2-40B4-BE49-F238E27FC236}">
              <a16:creationId xmlns:a16="http://schemas.microsoft.com/office/drawing/2014/main" id="{43A1DBEF-267F-4B92-A53B-848052040BFF}"/>
            </a:ext>
          </a:extLst>
        </xdr:cNvPr>
        <xdr:cNvCxnSpPr/>
      </xdr:nvCxnSpPr>
      <xdr:spPr>
        <a:xfrm>
          <a:off x="8648700" y="12849225"/>
          <a:ext cx="3533775" cy="0"/>
        </a:xfrm>
        <a:prstGeom prst="line">
          <a:avLst/>
        </a:prstGeom>
        <a:ln w="9525">
          <a:solidFill>
            <a:srgbClr val="0000FF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168521</xdr:colOff>
      <xdr:row>29</xdr:row>
      <xdr:rowOff>82439</xdr:rowOff>
    </xdr:from>
    <xdr:to>
      <xdr:col>8</xdr:col>
      <xdr:colOff>351694</xdr:colOff>
      <xdr:row>30</xdr:row>
      <xdr:rowOff>127290</xdr:rowOff>
    </xdr:to>
    <xdr:sp macro="" textlink="">
      <xdr:nvSpPr>
        <xdr:cNvPr id="125" name="Pentagon 123">
          <a:extLst>
            <a:ext uri="{FF2B5EF4-FFF2-40B4-BE49-F238E27FC236}">
              <a16:creationId xmlns:a16="http://schemas.microsoft.com/office/drawing/2014/main" id="{CB067876-2510-4416-9995-3CD33E92FA9F}"/>
            </a:ext>
          </a:extLst>
        </xdr:cNvPr>
        <xdr:cNvSpPr/>
      </xdr:nvSpPr>
      <xdr:spPr>
        <a:xfrm>
          <a:off x="6416921" y="5921264"/>
          <a:ext cx="792773" cy="235351"/>
        </a:xfrm>
        <a:prstGeom prst="homePlat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700">
              <a:solidFill>
                <a:sysClr val="windowText" lastClr="000000"/>
              </a:solidFill>
            </a:rPr>
            <a:t>Checker Map</a:t>
          </a:r>
        </a:p>
      </xdr:txBody>
    </xdr:sp>
    <xdr:clientData/>
  </xdr:twoCellAnchor>
  <xdr:twoCellAnchor>
    <xdr:from>
      <xdr:col>10</xdr:col>
      <xdr:colOff>1163761</xdr:colOff>
      <xdr:row>13</xdr:row>
      <xdr:rowOff>116075</xdr:rowOff>
    </xdr:from>
    <xdr:to>
      <xdr:col>10</xdr:col>
      <xdr:colOff>1403958</xdr:colOff>
      <xdr:row>14</xdr:row>
      <xdr:rowOff>112349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E35B0CE4-FC2E-457D-BAC9-B04F4025D761}"/>
            </a:ext>
          </a:extLst>
        </xdr:cNvPr>
        <xdr:cNvSpPr/>
      </xdr:nvSpPr>
      <xdr:spPr>
        <a:xfrm rot="10800000">
          <a:off x="15424047" y="2864718"/>
          <a:ext cx="240197" cy="186774"/>
        </a:xfrm>
        <a:prstGeom prst="triangl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449036</xdr:colOff>
      <xdr:row>4</xdr:row>
      <xdr:rowOff>163286</xdr:rowOff>
    </xdr:from>
    <xdr:to>
      <xdr:col>16</xdr:col>
      <xdr:colOff>544286</xdr:colOff>
      <xdr:row>7</xdr:row>
      <xdr:rowOff>125186</xdr:rowOff>
    </xdr:to>
    <xdr:sp macro="" textlink="">
      <xdr:nvSpPr>
        <xdr:cNvPr id="8" name="Pentagon 5">
          <a:extLst>
            <a:ext uri="{FF2B5EF4-FFF2-40B4-BE49-F238E27FC236}">
              <a16:creationId xmlns:a16="http://schemas.microsoft.com/office/drawing/2014/main" id="{A8F847E4-AB72-4B3D-8C76-759A3F675800}"/>
            </a:ext>
          </a:extLst>
        </xdr:cNvPr>
        <xdr:cNvSpPr/>
      </xdr:nvSpPr>
      <xdr:spPr>
        <a:xfrm>
          <a:off x="18083893" y="1197429"/>
          <a:ext cx="3156857" cy="533400"/>
        </a:xfrm>
        <a:prstGeom prst="homePlate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/>
            <a:t>Main</a:t>
          </a:r>
          <a:r>
            <a:rPr lang="en-US" sz="2400" baseline="0"/>
            <a:t>tain (if need)</a:t>
          </a:r>
          <a:endParaRPr lang="en-US" sz="2400"/>
        </a:p>
      </xdr:txBody>
    </xdr:sp>
    <xdr:clientData/>
  </xdr:twoCellAnchor>
  <xdr:twoCellAnchor>
    <xdr:from>
      <xdr:col>11</xdr:col>
      <xdr:colOff>302079</xdr:colOff>
      <xdr:row>10</xdr:row>
      <xdr:rowOff>68753</xdr:rowOff>
    </xdr:from>
    <xdr:to>
      <xdr:col>16</xdr:col>
      <xdr:colOff>601435</xdr:colOff>
      <xdr:row>11</xdr:row>
      <xdr:rowOff>70756</xdr:rowOff>
    </xdr:to>
    <xdr:sp macro="" textlink="">
      <xdr:nvSpPr>
        <xdr:cNvPr id="130" name="Pentagon 49">
          <a:extLst>
            <a:ext uri="{FF2B5EF4-FFF2-40B4-BE49-F238E27FC236}">
              <a16:creationId xmlns:a16="http://schemas.microsoft.com/office/drawing/2014/main" id="{3D1FDD8B-66C6-4467-9D04-3659F226AE90}"/>
            </a:ext>
          </a:extLst>
        </xdr:cNvPr>
        <xdr:cNvSpPr/>
      </xdr:nvSpPr>
      <xdr:spPr>
        <a:xfrm>
          <a:off x="17936936" y="2245896"/>
          <a:ext cx="3360963" cy="192503"/>
        </a:xfrm>
        <a:prstGeom prst="homePlate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baseline="0">
              <a:solidFill>
                <a:sysClr val="windowText" lastClr="000000"/>
              </a:solidFill>
            </a:rPr>
            <a:t>Making flow for kaizen point </a:t>
          </a:r>
          <a:endParaRPr lang="en-US" sz="1200" b="1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6</xdr:col>
      <xdr:colOff>398378</xdr:colOff>
      <xdr:row>12</xdr:row>
      <xdr:rowOff>89925</xdr:rowOff>
    </xdr:from>
    <xdr:ext cx="967445" cy="311496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D84B08D2-2729-476A-AC78-2E1180E6E81B}"/>
            </a:ext>
          </a:extLst>
        </xdr:cNvPr>
        <xdr:cNvSpPr txBox="1"/>
      </xdr:nvSpPr>
      <xdr:spPr>
        <a:xfrm>
          <a:off x="9460735" y="2648068"/>
          <a:ext cx="967445" cy="31149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sz="1400" b="1"/>
            <a:t>UX</a:t>
          </a:r>
          <a:r>
            <a:rPr lang="en-US" sz="1400" b="1" baseline="0"/>
            <a:t> making</a:t>
          </a:r>
          <a:endParaRPr lang="en-US" sz="1400" b="1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C89A7-9C10-4227-8A6D-9B1E3D1D9E34}">
  <sheetPr codeName="Sheet2"/>
  <dimension ref="A1:T22"/>
  <sheetViews>
    <sheetView zoomScale="90" zoomScaleNormal="90" workbookViewId="0">
      <selection activeCell="E12" sqref="E12"/>
    </sheetView>
  </sheetViews>
  <sheetFormatPr defaultRowHeight="15" x14ac:dyDescent="0.25"/>
  <cols>
    <col min="1" max="1" width="24" bestFit="1" customWidth="1"/>
    <col min="2" max="2" width="8.85546875" bestFit="1" customWidth="1"/>
    <col min="4" max="4" width="12.7109375" customWidth="1"/>
    <col min="5" max="5" width="37.7109375" customWidth="1"/>
    <col min="6" max="6" width="16.140625" customWidth="1"/>
    <col min="7" max="7" width="5.140625" customWidth="1"/>
    <col min="8" max="8" width="14.42578125" customWidth="1"/>
    <col min="9" max="9" width="5.140625" customWidth="1"/>
    <col min="10" max="10" width="16.140625" customWidth="1"/>
    <col min="11" max="11" width="5.140625" customWidth="1"/>
    <col min="12" max="12" width="14.42578125" customWidth="1"/>
    <col min="13" max="13" width="5.140625" customWidth="1"/>
    <col min="14" max="14" width="16.140625" customWidth="1"/>
    <col min="15" max="15" width="5.140625" customWidth="1"/>
    <col min="16" max="16" width="14.42578125" customWidth="1"/>
    <col min="17" max="17" width="5.140625" customWidth="1"/>
  </cols>
  <sheetData>
    <row r="1" spans="1:20" ht="21" customHeight="1" x14ac:dyDescent="0.25">
      <c r="A1" s="33" t="s">
        <v>0</v>
      </c>
      <c r="B1" s="34"/>
      <c r="C1" s="34"/>
      <c r="D1" s="34"/>
      <c r="E1" s="35"/>
      <c r="F1" s="24" t="s">
        <v>37</v>
      </c>
      <c r="G1" s="24"/>
      <c r="H1" s="24"/>
      <c r="I1" s="1"/>
      <c r="J1" s="24" t="s">
        <v>38</v>
      </c>
      <c r="K1" s="24"/>
      <c r="L1" s="24"/>
      <c r="M1" s="1"/>
      <c r="N1" s="24" t="s">
        <v>39</v>
      </c>
      <c r="O1" s="24"/>
      <c r="P1" s="24"/>
      <c r="Q1" s="14"/>
      <c r="S1" t="s">
        <v>30</v>
      </c>
    </row>
    <row r="2" spans="1:20" s="4" customFormat="1" ht="24" customHeight="1" x14ac:dyDescent="0.25">
      <c r="A2" s="5"/>
      <c r="B2" s="5" t="s">
        <v>43</v>
      </c>
      <c r="C2" s="5" t="s">
        <v>44</v>
      </c>
      <c r="D2" s="5" t="s">
        <v>14</v>
      </c>
      <c r="E2" s="5" t="s">
        <v>42</v>
      </c>
      <c r="F2" s="5" t="s">
        <v>12</v>
      </c>
      <c r="G2" s="5" t="s">
        <v>31</v>
      </c>
      <c r="H2" s="5" t="s">
        <v>13</v>
      </c>
      <c r="I2" s="5" t="s">
        <v>31</v>
      </c>
      <c r="J2" s="5" t="s">
        <v>12</v>
      </c>
      <c r="K2" s="5" t="s">
        <v>31</v>
      </c>
      <c r="L2" s="5" t="s">
        <v>13</v>
      </c>
      <c r="M2" s="5" t="s">
        <v>31</v>
      </c>
      <c r="N2" s="5" t="s">
        <v>12</v>
      </c>
      <c r="O2" s="5" t="s">
        <v>31</v>
      </c>
      <c r="P2" s="5" t="s">
        <v>13</v>
      </c>
      <c r="Q2" s="5" t="s">
        <v>31</v>
      </c>
    </row>
    <row r="3" spans="1:20" ht="20.100000000000001" customHeight="1" x14ac:dyDescent="0.25">
      <c r="A3" s="30" t="s">
        <v>45</v>
      </c>
      <c r="B3" s="31">
        <v>0.3</v>
      </c>
      <c r="C3" s="7">
        <v>0.1</v>
      </c>
      <c r="D3" s="7" t="s">
        <v>41</v>
      </c>
      <c r="E3" s="8" t="s">
        <v>1</v>
      </c>
      <c r="F3" s="6">
        <v>2</v>
      </c>
      <c r="G3" s="18">
        <f>SUM(F3:F6)</f>
        <v>9.5</v>
      </c>
      <c r="H3" s="6">
        <v>1</v>
      </c>
      <c r="I3" s="18">
        <f>SUM(H3:H6)</f>
        <v>6.5</v>
      </c>
      <c r="J3" s="6">
        <v>3</v>
      </c>
      <c r="K3" s="18">
        <f>SUM(J3:J6)</f>
        <v>12.5</v>
      </c>
      <c r="L3" s="6">
        <v>3</v>
      </c>
      <c r="M3" s="18">
        <f>SUM(L3:L6)</f>
        <v>10.5</v>
      </c>
      <c r="N3" s="6">
        <v>4</v>
      </c>
      <c r="O3" s="18">
        <f>SUM(N3:N6)</f>
        <v>15</v>
      </c>
      <c r="P3" s="6">
        <v>4</v>
      </c>
      <c r="Q3" s="18">
        <f>SUM(P3:P6)</f>
        <v>13</v>
      </c>
    </row>
    <row r="4" spans="1:20" ht="20.100000000000001" customHeight="1" x14ac:dyDescent="0.25">
      <c r="A4" s="30"/>
      <c r="B4" s="30"/>
      <c r="C4" s="7">
        <v>0.1</v>
      </c>
      <c r="D4" s="7" t="s">
        <v>15</v>
      </c>
      <c r="E4" s="8" t="s">
        <v>2</v>
      </c>
      <c r="F4" s="6">
        <v>3</v>
      </c>
      <c r="G4" s="19"/>
      <c r="H4" s="6">
        <v>2</v>
      </c>
      <c r="I4" s="19"/>
      <c r="J4" s="6">
        <v>4</v>
      </c>
      <c r="K4" s="19"/>
      <c r="L4" s="6">
        <v>3</v>
      </c>
      <c r="M4" s="19"/>
      <c r="N4" s="6">
        <v>5</v>
      </c>
      <c r="O4" s="19"/>
      <c r="P4" s="6">
        <v>4</v>
      </c>
      <c r="Q4" s="19"/>
    </row>
    <row r="5" spans="1:20" ht="20.100000000000001" customHeight="1" x14ac:dyDescent="0.25">
      <c r="A5" s="30"/>
      <c r="B5" s="30"/>
      <c r="C5" s="7">
        <v>0.05</v>
      </c>
      <c r="D5" s="7" t="s">
        <v>15</v>
      </c>
      <c r="E5" s="8" t="s">
        <v>3</v>
      </c>
      <c r="F5" s="6">
        <v>4</v>
      </c>
      <c r="G5" s="19"/>
      <c r="H5" s="6">
        <v>3</v>
      </c>
      <c r="I5" s="19"/>
      <c r="J5" s="6">
        <v>5</v>
      </c>
      <c r="K5" s="19"/>
      <c r="L5" s="6">
        <v>4</v>
      </c>
      <c r="M5" s="19"/>
      <c r="N5" s="6">
        <v>5</v>
      </c>
      <c r="O5" s="19"/>
      <c r="P5" s="6">
        <v>4</v>
      </c>
      <c r="Q5" s="19"/>
    </row>
    <row r="6" spans="1:20" ht="20.100000000000001" customHeight="1" x14ac:dyDescent="0.25">
      <c r="A6" s="30"/>
      <c r="B6" s="30"/>
      <c r="C6" s="7">
        <v>0.05</v>
      </c>
      <c r="D6" s="7" t="s">
        <v>16</v>
      </c>
      <c r="E6" s="8" t="s">
        <v>4</v>
      </c>
      <c r="F6" s="6">
        <v>0.5</v>
      </c>
      <c r="G6" s="20"/>
      <c r="H6" s="6">
        <v>0.5</v>
      </c>
      <c r="I6" s="20"/>
      <c r="J6" s="6">
        <v>0.5</v>
      </c>
      <c r="K6" s="20"/>
      <c r="L6" s="6">
        <v>0.5</v>
      </c>
      <c r="M6" s="20"/>
      <c r="N6" s="6">
        <v>1</v>
      </c>
      <c r="O6" s="20"/>
      <c r="P6" s="6">
        <v>1</v>
      </c>
      <c r="Q6" s="20"/>
      <c r="T6" s="11"/>
    </row>
    <row r="7" spans="1:20" ht="20.100000000000001" customHeight="1" x14ac:dyDescent="0.25">
      <c r="A7" s="24" t="s">
        <v>46</v>
      </c>
      <c r="B7" s="25">
        <v>0.5</v>
      </c>
      <c r="C7" s="2">
        <v>0.1</v>
      </c>
      <c r="D7" s="2" t="s">
        <v>17</v>
      </c>
      <c r="E7" s="3" t="s">
        <v>5</v>
      </c>
      <c r="F7" s="1">
        <v>2</v>
      </c>
      <c r="G7" s="21">
        <f>SUM(F7:F9)</f>
        <v>10</v>
      </c>
      <c r="H7" s="1">
        <v>1.5</v>
      </c>
      <c r="I7" s="21">
        <f>SUM(H7:H9)</f>
        <v>8</v>
      </c>
      <c r="J7" s="1">
        <v>3</v>
      </c>
      <c r="K7" s="21">
        <f>SUM(J7:J9)</f>
        <v>15</v>
      </c>
      <c r="L7" s="1">
        <v>2</v>
      </c>
      <c r="M7" s="21">
        <f>SUM(L7:L9)</f>
        <v>12</v>
      </c>
      <c r="N7" s="1">
        <f>F7*2.5</f>
        <v>5</v>
      </c>
      <c r="O7" s="21">
        <f>SUM(N7:N9)</f>
        <v>25</v>
      </c>
      <c r="P7" s="1">
        <f>H7*2.5</f>
        <v>3.75</v>
      </c>
      <c r="Q7" s="21">
        <f>SUM(P7:P9)</f>
        <v>20</v>
      </c>
    </row>
    <row r="8" spans="1:20" ht="20.100000000000001" customHeight="1" x14ac:dyDescent="0.25">
      <c r="A8" s="24"/>
      <c r="B8" s="25"/>
      <c r="C8" s="2">
        <v>0.1</v>
      </c>
      <c r="D8" s="2" t="s">
        <v>17</v>
      </c>
      <c r="E8" s="3" t="s">
        <v>6</v>
      </c>
      <c r="F8" s="1">
        <v>2</v>
      </c>
      <c r="G8" s="22"/>
      <c r="H8" s="1">
        <v>1.5</v>
      </c>
      <c r="I8" s="22"/>
      <c r="J8" s="1">
        <v>3</v>
      </c>
      <c r="K8" s="22"/>
      <c r="L8" s="1">
        <v>2</v>
      </c>
      <c r="M8" s="22"/>
      <c r="N8" s="1">
        <f t="shared" ref="N8:N15" si="0">F8*2.5</f>
        <v>5</v>
      </c>
      <c r="O8" s="22"/>
      <c r="P8" s="1">
        <f t="shared" ref="P8:P14" si="1">H8*2.5</f>
        <v>3.75</v>
      </c>
      <c r="Q8" s="22"/>
    </row>
    <row r="9" spans="1:20" ht="20.100000000000001" customHeight="1" x14ac:dyDescent="0.25">
      <c r="A9" s="24"/>
      <c r="B9" s="25"/>
      <c r="C9" s="2">
        <v>0.3</v>
      </c>
      <c r="D9" s="2" t="s">
        <v>17</v>
      </c>
      <c r="E9" s="3" t="s">
        <v>7</v>
      </c>
      <c r="F9" s="1">
        <v>6</v>
      </c>
      <c r="G9" s="23"/>
      <c r="H9" s="1">
        <v>5</v>
      </c>
      <c r="I9" s="23"/>
      <c r="J9" s="1">
        <v>9</v>
      </c>
      <c r="K9" s="23"/>
      <c r="L9" s="1">
        <v>8</v>
      </c>
      <c r="M9" s="23"/>
      <c r="N9" s="1">
        <f t="shared" si="0"/>
        <v>15</v>
      </c>
      <c r="O9" s="23"/>
      <c r="P9" s="1">
        <f t="shared" si="1"/>
        <v>12.5</v>
      </c>
      <c r="Q9" s="23"/>
    </row>
    <row r="10" spans="1:20" ht="20.100000000000001" customHeight="1" x14ac:dyDescent="0.25">
      <c r="A10" s="36" t="s">
        <v>47</v>
      </c>
      <c r="B10" s="26">
        <v>0.2</v>
      </c>
      <c r="C10" s="2">
        <v>0.02</v>
      </c>
      <c r="D10" s="12" t="s">
        <v>28</v>
      </c>
      <c r="E10" s="13" t="s">
        <v>26</v>
      </c>
      <c r="F10" s="1">
        <v>0.5</v>
      </c>
      <c r="G10" s="21">
        <f>SUM(F10:F15)</f>
        <v>4</v>
      </c>
      <c r="H10" s="1">
        <v>0.5</v>
      </c>
      <c r="I10" s="21">
        <f>SUM(H10:H15)</f>
        <v>3.5</v>
      </c>
      <c r="J10" s="1">
        <v>0.5</v>
      </c>
      <c r="K10" s="21">
        <f>SUM(J10:J15)</f>
        <v>6</v>
      </c>
      <c r="L10" s="1">
        <v>0.5</v>
      </c>
      <c r="M10" s="21">
        <f>SUM(L10:L15)</f>
        <v>5</v>
      </c>
      <c r="N10" s="1">
        <f t="shared" si="0"/>
        <v>1.25</v>
      </c>
      <c r="O10" s="21">
        <f>SUM(N10:N15)</f>
        <v>10</v>
      </c>
      <c r="P10" s="1">
        <f t="shared" si="1"/>
        <v>1.25</v>
      </c>
      <c r="Q10" s="21">
        <f>SUM(P10:P15)</f>
        <v>8.25</v>
      </c>
    </row>
    <row r="11" spans="1:20" ht="20.100000000000001" customHeight="1" x14ac:dyDescent="0.25">
      <c r="A11" s="37"/>
      <c r="B11" s="27"/>
      <c r="C11" s="2">
        <v>0.03</v>
      </c>
      <c r="D11" s="2" t="s">
        <v>16</v>
      </c>
      <c r="E11" s="3" t="s">
        <v>9</v>
      </c>
      <c r="F11" s="1">
        <v>0.5</v>
      </c>
      <c r="G11" s="22"/>
      <c r="H11" s="1">
        <v>0.5</v>
      </c>
      <c r="I11" s="22"/>
      <c r="J11" s="1">
        <v>1</v>
      </c>
      <c r="K11" s="22"/>
      <c r="L11" s="1">
        <v>1</v>
      </c>
      <c r="M11" s="22"/>
      <c r="N11" s="1">
        <f t="shared" si="0"/>
        <v>1.25</v>
      </c>
      <c r="O11" s="22"/>
      <c r="P11" s="1">
        <f t="shared" si="1"/>
        <v>1.25</v>
      </c>
      <c r="Q11" s="22"/>
    </row>
    <row r="12" spans="1:20" ht="20.100000000000001" customHeight="1" x14ac:dyDescent="0.25">
      <c r="A12" s="37"/>
      <c r="B12" s="27"/>
      <c r="C12" s="2">
        <v>0.05</v>
      </c>
      <c r="D12" s="2" t="s">
        <v>18</v>
      </c>
      <c r="E12" s="3" t="s">
        <v>10</v>
      </c>
      <c r="F12" s="1">
        <v>1</v>
      </c>
      <c r="G12" s="22"/>
      <c r="H12" s="1">
        <v>0.5</v>
      </c>
      <c r="I12" s="22"/>
      <c r="J12" s="1">
        <v>1.5</v>
      </c>
      <c r="K12" s="22"/>
      <c r="L12" s="1">
        <v>1</v>
      </c>
      <c r="M12" s="22"/>
      <c r="N12" s="1">
        <f t="shared" si="0"/>
        <v>2.5</v>
      </c>
      <c r="O12" s="22"/>
      <c r="P12" s="1">
        <f t="shared" si="1"/>
        <v>1.25</v>
      </c>
      <c r="Q12" s="22"/>
    </row>
    <row r="13" spans="1:20" ht="20.100000000000001" customHeight="1" x14ac:dyDescent="0.25">
      <c r="A13" s="37"/>
      <c r="B13" s="27"/>
      <c r="C13" s="2">
        <v>0.02</v>
      </c>
      <c r="D13" s="2" t="s">
        <v>17</v>
      </c>
      <c r="E13" s="3" t="s">
        <v>8</v>
      </c>
      <c r="F13" s="1">
        <v>0.5</v>
      </c>
      <c r="G13" s="22"/>
      <c r="H13" s="1">
        <v>0.5</v>
      </c>
      <c r="I13" s="22"/>
      <c r="J13" s="1">
        <v>0.5</v>
      </c>
      <c r="K13" s="22"/>
      <c r="L13" s="1">
        <v>0.5</v>
      </c>
      <c r="M13" s="22"/>
      <c r="N13" s="1">
        <f t="shared" si="0"/>
        <v>1.25</v>
      </c>
      <c r="O13" s="22"/>
      <c r="P13" s="1">
        <f t="shared" si="1"/>
        <v>1.25</v>
      </c>
      <c r="Q13" s="22"/>
    </row>
    <row r="14" spans="1:20" ht="20.100000000000001" customHeight="1" x14ac:dyDescent="0.25">
      <c r="A14" s="37"/>
      <c r="B14" s="27"/>
      <c r="C14" s="2">
        <v>0.03</v>
      </c>
      <c r="D14" s="2" t="s">
        <v>17</v>
      </c>
      <c r="E14" s="3" t="s">
        <v>11</v>
      </c>
      <c r="F14" s="1">
        <v>0.5</v>
      </c>
      <c r="G14" s="22"/>
      <c r="H14" s="1">
        <v>0.5</v>
      </c>
      <c r="I14" s="22"/>
      <c r="J14" s="1">
        <v>1</v>
      </c>
      <c r="K14" s="22"/>
      <c r="L14" s="1">
        <v>1</v>
      </c>
      <c r="M14" s="22"/>
      <c r="N14" s="1">
        <f t="shared" si="0"/>
        <v>1.25</v>
      </c>
      <c r="O14" s="22"/>
      <c r="P14" s="1">
        <f t="shared" si="1"/>
        <v>1.25</v>
      </c>
      <c r="Q14" s="22"/>
    </row>
    <row r="15" spans="1:20" ht="20.100000000000001" customHeight="1" x14ac:dyDescent="0.25">
      <c r="A15" s="38"/>
      <c r="B15" s="28"/>
      <c r="C15" s="2">
        <v>0.05</v>
      </c>
      <c r="D15" s="2" t="s">
        <v>17</v>
      </c>
      <c r="E15" s="3" t="s">
        <v>20</v>
      </c>
      <c r="F15" s="1">
        <v>1</v>
      </c>
      <c r="G15" s="23"/>
      <c r="H15" s="1">
        <v>1</v>
      </c>
      <c r="I15" s="23"/>
      <c r="J15" s="1">
        <v>1.5</v>
      </c>
      <c r="K15" s="23"/>
      <c r="L15" s="1">
        <v>1</v>
      </c>
      <c r="M15" s="23"/>
      <c r="N15" s="1">
        <f t="shared" si="0"/>
        <v>2.5</v>
      </c>
      <c r="O15" s="23"/>
      <c r="P15" s="1">
        <v>2</v>
      </c>
      <c r="Q15" s="23"/>
    </row>
    <row r="16" spans="1:20" ht="20.100000000000001" customHeight="1" x14ac:dyDescent="0.25">
      <c r="A16" s="29" t="s">
        <v>19</v>
      </c>
      <c r="B16" s="29" t="s">
        <v>21</v>
      </c>
      <c r="C16" s="29"/>
      <c r="D16" s="2" t="s">
        <v>15</v>
      </c>
      <c r="E16" s="3" t="s">
        <v>22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20.100000000000001" customHeight="1" x14ac:dyDescent="0.25">
      <c r="A17" s="29"/>
      <c r="B17" s="29"/>
      <c r="C17" s="29"/>
      <c r="D17" s="2" t="s">
        <v>17</v>
      </c>
      <c r="E17" s="3" t="s">
        <v>23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20.100000000000001" customHeight="1" x14ac:dyDescent="0.25">
      <c r="A18" s="29"/>
      <c r="B18" s="29"/>
      <c r="C18" s="29"/>
      <c r="D18" s="2" t="s">
        <v>17</v>
      </c>
      <c r="E18" s="3" t="s">
        <v>24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20.100000000000001" customHeight="1" x14ac:dyDescent="0.25">
      <c r="A19" s="29"/>
      <c r="B19" s="29"/>
      <c r="C19" s="29"/>
      <c r="D19" s="2" t="s">
        <v>17</v>
      </c>
      <c r="E19" s="3" t="s">
        <v>25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E20" s="10" t="s">
        <v>29</v>
      </c>
      <c r="F20" s="1">
        <f t="shared" ref="F20:P20" si="2">SUM(F3:F19)</f>
        <v>23.5</v>
      </c>
      <c r="G20" s="1">
        <f>G7+G10</f>
        <v>14</v>
      </c>
      <c r="H20" s="1">
        <f t="shared" si="2"/>
        <v>18</v>
      </c>
      <c r="I20" s="1">
        <f>I7+I10</f>
        <v>11.5</v>
      </c>
      <c r="J20" s="9">
        <f t="shared" si="2"/>
        <v>33.5</v>
      </c>
      <c r="K20" s="1">
        <f>K7+K10</f>
        <v>21</v>
      </c>
      <c r="L20" s="9">
        <f t="shared" si="2"/>
        <v>27.5</v>
      </c>
      <c r="M20" s="1">
        <f>M7+M10</f>
        <v>17</v>
      </c>
      <c r="N20" s="1">
        <f t="shared" si="2"/>
        <v>50</v>
      </c>
      <c r="O20" s="1">
        <f>O7+O10</f>
        <v>35</v>
      </c>
      <c r="P20" s="1">
        <f t="shared" si="2"/>
        <v>41.25</v>
      </c>
      <c r="Q20" s="1">
        <f>Q7+Q10</f>
        <v>28.25</v>
      </c>
    </row>
    <row r="21" spans="1:17" x14ac:dyDescent="0.25">
      <c r="E21" s="10" t="s">
        <v>27</v>
      </c>
      <c r="F21" s="1">
        <f t="shared" ref="F21:P21" si="3">F20/4</f>
        <v>5.875</v>
      </c>
      <c r="G21" s="1" t="s">
        <v>32</v>
      </c>
      <c r="H21" s="1">
        <f t="shared" si="3"/>
        <v>4.5</v>
      </c>
      <c r="I21" s="1" t="s">
        <v>32</v>
      </c>
      <c r="J21" s="9">
        <f t="shared" si="3"/>
        <v>8.375</v>
      </c>
      <c r="K21" s="1" t="s">
        <v>32</v>
      </c>
      <c r="L21" s="9">
        <f t="shared" si="3"/>
        <v>6.875</v>
      </c>
      <c r="M21" s="1" t="s">
        <v>32</v>
      </c>
      <c r="N21" s="1">
        <f t="shared" si="3"/>
        <v>12.5</v>
      </c>
      <c r="O21" s="1" t="s">
        <v>32</v>
      </c>
      <c r="P21" s="1">
        <f t="shared" si="3"/>
        <v>10.3125</v>
      </c>
      <c r="Q21" s="1" t="s">
        <v>32</v>
      </c>
    </row>
    <row r="22" spans="1:17" x14ac:dyDescent="0.25">
      <c r="J22" t="s">
        <v>33</v>
      </c>
      <c r="N22" t="s">
        <v>34</v>
      </c>
    </row>
  </sheetData>
  <mergeCells count="30">
    <mergeCell ref="F1:H1"/>
    <mergeCell ref="J1:L1"/>
    <mergeCell ref="N1:P1"/>
    <mergeCell ref="A3:A6"/>
    <mergeCell ref="B3:B6"/>
    <mergeCell ref="K3:K6"/>
    <mergeCell ref="A1:E1"/>
    <mergeCell ref="A7:A9"/>
    <mergeCell ref="B7:B9"/>
    <mergeCell ref="A10:A15"/>
    <mergeCell ref="B10:B15"/>
    <mergeCell ref="A16:A19"/>
    <mergeCell ref="B16:C19"/>
    <mergeCell ref="G7:G9"/>
    <mergeCell ref="G10:G15"/>
    <mergeCell ref="G3:G6"/>
    <mergeCell ref="I3:I6"/>
    <mergeCell ref="I7:I9"/>
    <mergeCell ref="I10:I15"/>
    <mergeCell ref="Q3:Q6"/>
    <mergeCell ref="Q7:Q9"/>
    <mergeCell ref="Q10:Q15"/>
    <mergeCell ref="K7:K9"/>
    <mergeCell ref="K10:K15"/>
    <mergeCell ref="M3:M6"/>
    <mergeCell ref="M7:M9"/>
    <mergeCell ref="M10:M15"/>
    <mergeCell ref="O3:O6"/>
    <mergeCell ref="O7:O9"/>
    <mergeCell ref="O10:O1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B092D-B3E8-46AD-8BD4-40518AC5C939}">
  <sheetPr codeName="Sheet4"/>
  <dimension ref="A2:K63"/>
  <sheetViews>
    <sheetView tabSelected="1" zoomScale="70" zoomScaleNormal="70" workbookViewId="0">
      <selection activeCell="D69" sqref="D69"/>
    </sheetView>
  </sheetViews>
  <sheetFormatPr defaultRowHeight="15" x14ac:dyDescent="0.25"/>
  <cols>
    <col min="1" max="1" width="7.28515625" customWidth="1"/>
    <col min="2" max="11" width="25.7109375" customWidth="1"/>
  </cols>
  <sheetData>
    <row r="2" spans="1:11" ht="36" x14ac:dyDescent="0.55000000000000004">
      <c r="E2" s="15" t="s">
        <v>40</v>
      </c>
      <c r="I2" s="15"/>
    </row>
    <row r="4" spans="1:11" s="14" customFormat="1" x14ac:dyDescent="0.25">
      <c r="C4" s="32">
        <v>0.3</v>
      </c>
      <c r="G4" s="32">
        <v>0.5</v>
      </c>
      <c r="J4" s="32">
        <v>0.1</v>
      </c>
      <c r="K4" s="32">
        <v>0.1</v>
      </c>
    </row>
    <row r="14" spans="1:11" x14ac:dyDescent="0.25">
      <c r="E14" s="16"/>
    </row>
    <row r="16" spans="1:11" ht="18.75" x14ac:dyDescent="0.3">
      <c r="A16" s="17" t="s">
        <v>48</v>
      </c>
    </row>
    <row r="17" spans="1:4" x14ac:dyDescent="0.25">
      <c r="A17" s="16"/>
      <c r="B17" s="16"/>
      <c r="C17" s="16"/>
    </row>
    <row r="18" spans="1:4" x14ac:dyDescent="0.25">
      <c r="A18" s="16"/>
      <c r="B18" s="16"/>
      <c r="C18" s="16"/>
    </row>
    <row r="19" spans="1:4" x14ac:dyDescent="0.25">
      <c r="A19" s="16"/>
      <c r="C19" s="16"/>
    </row>
    <row r="21" spans="1:4" x14ac:dyDescent="0.25">
      <c r="A21" s="16"/>
      <c r="C21" s="16"/>
      <c r="D21" s="16"/>
    </row>
    <row r="22" spans="1:4" x14ac:dyDescent="0.25">
      <c r="B22" s="16"/>
    </row>
    <row r="25" spans="1:4" x14ac:dyDescent="0.25">
      <c r="A25" s="16"/>
      <c r="C25" s="16"/>
    </row>
    <row r="27" spans="1:4" x14ac:dyDescent="0.25">
      <c r="B27" s="16"/>
    </row>
    <row r="39" spans="1:3" ht="18.75" x14ac:dyDescent="0.3">
      <c r="A39" s="17" t="s">
        <v>49</v>
      </c>
    </row>
    <row r="40" spans="1:3" ht="18.75" x14ac:dyDescent="0.3">
      <c r="A40" s="17"/>
      <c r="B40" s="16" t="s">
        <v>35</v>
      </c>
    </row>
    <row r="41" spans="1:3" x14ac:dyDescent="0.25">
      <c r="C41" s="16"/>
    </row>
    <row r="52" spans="1:2" x14ac:dyDescent="0.25">
      <c r="B52" s="16" t="s">
        <v>36</v>
      </c>
    </row>
    <row r="55" spans="1:2" ht="18.75" x14ac:dyDescent="0.3">
      <c r="A55" s="17" t="s">
        <v>50</v>
      </c>
    </row>
    <row r="56" spans="1:2" x14ac:dyDescent="0.25">
      <c r="B56" s="16"/>
    </row>
    <row r="63" spans="1:2" ht="18.75" x14ac:dyDescent="0.3">
      <c r="A63" s="17" t="s">
        <v>51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Job detail</vt:lpstr>
      <vt:lpstr>Time table job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huong.nguyen262</dc:creator>
  <cp:lastModifiedBy>anh.nguyen172</cp:lastModifiedBy>
  <dcterms:created xsi:type="dcterms:W3CDTF">2026-09-17T08:31:16Z</dcterms:created>
  <dcterms:modified xsi:type="dcterms:W3CDTF">2026-10-02T09:32:22Z</dcterms:modified>
</cp:coreProperties>
</file>